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research\2026-SLR-regression-testing-optimization\8_Data_Synthesis\"/>
    </mc:Choice>
  </mc:AlternateContent>
  <xr:revisionPtr revIDLastSave="0" documentId="13_ncr:1_{B974F0A6-88CA-4A10-A9AE-A0C53BEDF5BD}" xr6:coauthVersionLast="47" xr6:coauthVersionMax="47" xr10:uidLastSave="{00000000-0000-0000-0000-000000000000}"/>
  <bookViews>
    <workbookView xWindow="-23148" yWindow="1344" windowWidth="23256" windowHeight="13896" xr2:uid="{FF880EED-EA60-9E49-B15D-179496B980D1}"/>
  </bookViews>
  <sheets>
    <sheet name="Foglio1" sheetId="1" r:id="rId1"/>
    <sheet name="Foglio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3" i="1" l="1"/>
  <c r="AM2" i="1"/>
  <c r="AL4" i="1"/>
  <c r="AQ3" i="1"/>
  <c r="AN2" i="1"/>
  <c r="AL2" i="1"/>
  <c r="AS3" i="1"/>
  <c r="AQ4" i="1"/>
  <c r="CQ12" i="1" a="1"/>
  <c r="CQ12" i="1" s="1"/>
  <c r="CP12" i="1" a="1"/>
  <c r="CP12" i="1" s="1"/>
  <c r="AK2" i="1"/>
  <c r="AK3" i="1"/>
  <c r="AL3" i="1"/>
  <c r="AM3" i="1"/>
  <c r="AK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K123" i="1"/>
  <c r="AL123" i="1"/>
  <c r="AM123" i="1"/>
  <c r="AN123" i="1"/>
  <c r="AK124" i="1"/>
  <c r="AL124" i="1"/>
  <c r="AM124" i="1"/>
  <c r="AN124" i="1"/>
  <c r="AK125" i="1"/>
  <c r="AL125" i="1"/>
  <c r="AM125" i="1"/>
  <c r="AN125" i="1"/>
  <c r="AK126" i="1"/>
  <c r="AL126" i="1"/>
  <c r="AM126" i="1"/>
  <c r="AN126"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s="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s="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s="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s="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s="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s="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s="1"/>
  <c r="FW83" i="1" a="1"/>
  <c r="FW83" i="1" s="1"/>
  <c r="FX83" i="1" a="1"/>
  <c r="FX83" i="1" s="1"/>
  <c r="FW84" i="1" a="1"/>
  <c r="FW84" i="1" s="1"/>
  <c r="FX84" i="1" a="1"/>
  <c r="FX84" i="1" s="1"/>
  <c r="GQ8" i="1" l="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1" i="1" a="1"/>
  <c r="CO11" i="1" s="1"/>
  <c r="CO10" i="1" a="1"/>
  <c r="CO10" i="1" s="1"/>
  <c r="CO9" i="1" a="1"/>
  <c r="CO9" i="1" s="1"/>
  <c r="CO8" i="1" a="1"/>
  <c r="CO8" i="1" s="1"/>
  <c r="CO6" i="1" a="1"/>
  <c r="CO6" i="1" s="1"/>
  <c r="CO7" i="1" a="1"/>
  <c r="CO7" i="1" s="1"/>
  <c r="CO5" i="1" a="1"/>
  <c r="CO5" i="1" s="1"/>
  <c r="CO4" i="1" a="1"/>
  <c r="CO4" i="1" s="1"/>
  <c r="CQ4" i="1" a="1"/>
  <c r="CQ4" i="1" s="1"/>
  <c r="CQ3" i="1" a="1"/>
  <c r="CQ3" i="1" s="1"/>
  <c r="CP4" i="1" a="1"/>
  <c r="CP4" i="1" s="1"/>
  <c r="CP3" i="1" a="1"/>
  <c r="CP3" i="1" s="1"/>
  <c r="CO3" i="1" a="1"/>
  <c r="CO3"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Q16" i="1" l="1"/>
  <c r="CO16" i="1"/>
  <c r="CP16" i="1"/>
  <c r="AR10" i="1"/>
  <c r="AR15" i="1"/>
  <c r="AS15" i="1"/>
  <c r="AT15" i="1"/>
  <c r="AR5" i="1"/>
  <c r="AQ15" i="1"/>
  <c r="AQ8" i="1"/>
  <c r="EW16" i="1" l="1"/>
  <c r="EQ33" i="1"/>
  <c r="EQ16" i="1"/>
  <c r="AS4" i="1"/>
  <c r="AR9" i="1"/>
  <c r="AT5" i="1"/>
  <c r="AT9" i="1"/>
  <c r="AS7" i="1"/>
  <c r="AR4" i="1"/>
  <c r="AR3" i="1"/>
  <c r="AS9" i="1"/>
  <c r="AR7" i="1"/>
  <c r="AQ12" i="1"/>
  <c r="AS6" i="1"/>
  <c r="AQ6" i="1"/>
  <c r="AQ7" i="1"/>
  <c r="AQ5" i="1"/>
  <c r="AQ9" i="1"/>
  <c r="AQ14" i="1"/>
  <c r="AR11" i="1"/>
  <c r="AT10" i="1"/>
  <c r="AT14" i="1"/>
  <c r="AS12" i="1"/>
  <c r="AS13" i="1"/>
  <c r="AR13" i="1"/>
  <c r="AQ10" i="1"/>
  <c r="AQ11" i="1"/>
  <c r="AT13" i="1"/>
  <c r="AQ13" i="1"/>
  <c r="AS10" i="1"/>
  <c r="AS11" i="1"/>
  <c r="AS14" i="1"/>
  <c r="AT4" i="1"/>
  <c r="AR14" i="1"/>
  <c r="AT3" i="1"/>
  <c r="AS5" i="1"/>
  <c r="AT7" i="1"/>
  <c r="AT6" i="1"/>
  <c r="AR12" i="1"/>
  <c r="AR6" i="1"/>
  <c r="AT12" i="1"/>
  <c r="AR8" i="1"/>
  <c r="AT11" i="1"/>
  <c r="AS8" i="1"/>
  <c r="AT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<sst xmlns="http://schemas.openxmlformats.org/spreadsheetml/2006/main" count="2124" uniqueCount="1410">
  <si>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</si>
  <si>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</si>
  <si>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</si>
  <si>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</si>
  <si>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</si>
  <si>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</si>
  <si>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</si>
  <si>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</si>
  <si>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</si>
  <si>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</si>
  <si>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</si>
  <si>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</si>
  <si>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</si>
  <si>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</si>
  <si>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</si>
  <si>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</si>
  <si>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</si>
  <si>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</si>
  <si>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</si>
  <si>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</si>
  <si>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</si>
  <si>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</si>
  <si>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</si>
  <si>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</si>
  <si>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</si>
  <si>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</si>
  <si>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</si>
  <si>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</si>
  <si>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</si>
  <si>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</si>
  <si>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</si>
  <si>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</si>
  <si>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</si>
  <si>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</si>
  <si>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</si>
  <si>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</si>
  <si>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</si>
  <si>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</si>
  <si>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</si>
  <si>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</si>
  <si>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</si>
  <si>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</si>
  <si>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</si>
  <si>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</si>
  <si>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</si>
  <si>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</si>
  <si>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</si>
  <si>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</si>
  <si>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</si>
  <si>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</si>
  <si>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</si>
  <si>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</si>
  <si>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</si>
  <si>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</si>
  <si>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</si>
  <si>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</si>
  <si>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</si>
  <si>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</si>
  <si>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</si>
  <si>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</si>
  <si>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</si>
  <si>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</si>
  <si>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</si>
  <si>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</si>
  <si>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</si>
  <si>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</si>
  <si>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</si>
  <si>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</si>
  <si>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</si>
  <si>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</si>
  <si>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</si>
  <si>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</si>
  <si>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</si>
  <si>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</si>
  <si>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</si>
  <si>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</si>
  <si>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</si>
  <si>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</si>
  <si>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</si>
  <si>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</si>
  <si>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</si>
  <si>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</si>
  <si>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</si>
  <si>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</si>
  <si>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</si>
  <si>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</si>
  <si>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</si>
  <si>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</si>
  <si>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</si>
  <si>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</si>
  <si>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</si>
  <si>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</si>
  <si>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</si>
  <si>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</si>
  <si>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</si>
  <si>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</si>
  <si>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</si>
  <si>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</si>
  <si>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</si>
  <si>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</si>
  <si>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</si>
  <si>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</si>
  <si>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</si>
  <si>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</si>
  <si>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</si>
  <si>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</si>
  <si>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</si>
  <si>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</si>
  <si>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</si>
  <si>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</si>
  <si>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</si>
  <si>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</si>
  <si>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</si>
  <si>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</si>
  <si>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</si>
  <si>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</si>
  <si>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</si>
  <si>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</si>
  <si>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</si>
  <si>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</si>
  <si>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</si>
  <si>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</si>
  <si>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</si>
  <si>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</si>
  <si>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</si>
  <si>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</si>
  <si>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</si>
  <si>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</si>
  <si>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</si>
  <si>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</si>
  <si>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</si>
  <si>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</si>
  <si>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</si>
  <si>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</si>
  <si>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</si>
  <si>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</si>
  <si>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</si>
  <si>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</si>
  <si>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</si>
  <si>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</si>
  <si>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</si>
  <si>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</si>
  <si>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</si>
  <si>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</si>
  <si>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</si>
  <si>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</si>
  <si>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</si>
  <si>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</si>
  <si>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</si>
  <si>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</si>
  <si>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</si>
  <si>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</si>
  <si>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</si>
  <si>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</si>
  <si>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</si>
  <si>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</si>
  <si>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</si>
  <si>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</si>
  <si>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</si>
  <si>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</si>
  <si>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</si>
  <si>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</si>
  <si>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</si>
  <si>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</si>
  <si>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</si>
  <si>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</si>
  <si>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</si>
  <si>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</si>
  <si>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</si>
  <si>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</si>
  <si>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</si>
  <si>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</si>
  <si>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</si>
  <si>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</si>
  <si>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</si>
  <si>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</si>
  <si>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</si>
  <si>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</si>
  <si>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</si>
  <si>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</si>
  <si>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</si>
  <si>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2022,prioritization+selection</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</si>
  <si>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</si>
  <si>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</si>
  <si>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</si>
  <si>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</si>
  <si>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</si>
  <si>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</si>
  <si>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</si>
  <si>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</si>
  <si>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</si>
  <si>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</si>
  <si>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</si>
  <si>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</si>
  <si>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</si>
  <si>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</si>
  <si>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</si>
  <si>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</si>
  <si>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</si>
  <si>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</si>
  <si>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</si>
  <si>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</si>
  <si>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</si>
  <si>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</si>
  <si>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</si>
  <si>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</si>
  <si>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</si>
  <si>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</si>
  <si>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</si>
  <si>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</si>
  <si>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</si>
  <si>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</si>
  <si>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</si>
  <si>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</si>
  <si>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</si>
  <si>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</si>
  <si>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</si>
  <si>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</si>
  <si>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</si>
  <si>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</si>
  <si>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</si>
  <si>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</si>
  <si>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</si>
  <si>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</si>
  <si>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</si>
  <si>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</si>
  <si>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</si>
  <si>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</si>
  <si>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</si>
  <si>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</si>
  <si>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</si>
  <si>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</si>
  <si>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</si>
  <si>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</si>
  <si>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</si>
  <si>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</si>
  <si>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</si>
  <si>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</si>
  <si>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</si>
  <si>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</si>
  <si>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</si>
  <si>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</si>
  <si>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</si>
  <si>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</si>
  <si>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</si>
  <si>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</si>
  <si>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</si>
  <si>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</si>
  <si>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</si>
  <si>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</si>
  <si>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</si>
  <si>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</si>
  <si>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</si>
  <si>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</si>
  <si>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</si>
  <si>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</si>
  <si>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</si>
  <si>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</si>
  <si>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</si>
  <si>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</si>
  <si>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</si>
  <si>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</si>
  <si>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</si>
  <si>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</si>
  <si>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</si>
  <si>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</si>
  <si>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</si>
  <si>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</si>
  <si>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</si>
  <si>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</si>
  <si>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</si>
  <si>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</si>
  <si>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</si>
  <si>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</si>
  <si>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</si>
  <si>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</si>
  <si>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</si>
  <si>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</si>
  <si>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</si>
  <si>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</si>
  <si>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</si>
  <si>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</si>
  <si>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</si>
  <si>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</si>
  <si>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</si>
  <si>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</si>
  <si>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</si>
  <si>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</si>
  <si>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</si>
  <si>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</si>
  <si>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</si>
  <si>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</si>
  <si>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</si>
  <si>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</si>
  <si>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</si>
  <si>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</si>
  <si>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</si>
  <si>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</si>
  <si>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</si>
  <si>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</si>
  <si>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</si>
  <si>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</si>
  <si>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</si>
  <si>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</si>
  <si>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</si>
  <si>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</si>
  <si>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</si>
  <si>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</si>
  <si>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</si>
  <si>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</si>
  <si>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</si>
  <si>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</si>
  <si>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</si>
  <si>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</si>
  <si>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</si>
  <si>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</si>
  <si>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</si>
  <si>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</si>
  <si>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</si>
  <si>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</si>
  <si>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</si>
  <si>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</si>
  <si>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</si>
  <si>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</si>
  <si>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</si>
  <si>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</si>
  <si>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</si>
  <si>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</si>
  <si>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</si>
  <si>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</si>
  <si>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</si>
  <si>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</si>
  <si>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</si>
  <si>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</si>
  <si>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</si>
  <si>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</si>
  <si>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</si>
  <si>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</si>
  <si>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</si>
  <si>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</si>
  <si>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</si>
  <si>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</si>
  <si>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</si>
  <si>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</si>
  <si>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</si>
  <si>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</si>
  <si>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</si>
  <si>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</si>
  <si>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</si>
  <si>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</si>
  <si>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</si>
  <si>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</si>
  <si>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</si>
  <si>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</si>
  <si>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</si>
  <si>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</si>
  <si>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</si>
  <si>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</si>
  <si>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</si>
  <si>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</si>
  <si>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</si>
  <si>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</si>
  <si>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</si>
  <si>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</si>
  <si>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</si>
  <si>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</si>
  <si>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</si>
  <si>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</si>
  <si>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</si>
  <si>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</si>
  <si>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</si>
  <si>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</si>
  <si>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</si>
  <si>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</si>
  <si>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</si>
  <si>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</si>
  <si>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</si>
  <si>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</si>
  <si>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</si>
  <si>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</si>
  <si>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</si>
  <si>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</si>
  <si>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</si>
  <si>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</si>
  <si>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</si>
  <si>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</si>
  <si>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</si>
  <si>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</si>
  <si>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</si>
  <si>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</si>
  <si>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</si>
  <si>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</si>
  <si>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</si>
  <si>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</si>
  <si>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</si>
  <si>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</si>
  <si>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</si>
  <si>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</si>
  <si>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</si>
  <si>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</si>
  <si>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</si>
  <si>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</si>
  <si>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</si>
  <si>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</si>
  <si>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</si>
  <si>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</si>
  <si>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</si>
  <si>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</si>
  <si>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</si>
  <si>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</si>
  <si>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</si>
  <si>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</si>
  <si>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</si>
  <si>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</si>
  <si>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</si>
  <si>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</si>
  <si>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</si>
  <si>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</si>
  <si>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</si>
  <si>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</si>
  <si>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</si>
  <si>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</si>
  <si>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</si>
  <si>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</si>
  <si>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</si>
  <si>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</si>
  <si>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</si>
  <si>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</si>
  <si>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</si>
  <si>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</si>
  <si>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</si>
  <si>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</si>
  <si>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</si>
  <si>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</si>
  <si>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</si>
  <si>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</si>
  <si>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</si>
  <si>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</si>
  <si>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</si>
  <si>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</si>
  <si>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</si>
  <si>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</si>
  <si>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</si>
  <si>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</si>
  <si>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</si>
  <si>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</si>
  <si>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</si>
  <si>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</si>
  <si>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</si>
  <si>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</si>
  <si>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</si>
  <si>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</si>
  <si>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</si>
  <si>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</si>
  <si>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</si>
  <si>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</si>
  <si>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</si>
  <si>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</si>
  <si>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</si>
  <si>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</si>
  <si>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</si>
  <si>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</si>
  <si>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</si>
  <si>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</si>
  <si>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</si>
  <si>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</si>
  <si>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</si>
  <si>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</si>
  <si>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</si>
  <si>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</si>
  <si>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</si>
  <si>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</si>
  <si>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</si>
  <si>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</si>
  <si>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</si>
  <si>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</si>
  <si>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</si>
  <si>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</si>
  <si>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</si>
  <si>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</si>
  <si>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</si>
  <si>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</si>
  <si>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</si>
  <si>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</si>
  <si>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</si>
  <si>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</si>
  <si>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</si>
  <si>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</si>
  <si>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</si>
  <si>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</si>
  <si>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</si>
  <si>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</si>
  <si>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</si>
  <si>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</si>
  <si>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</si>
  <si>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</si>
  <si>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</si>
  <si>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</si>
  <si>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</si>
  <si>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</si>
  <si>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</si>
  <si>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</si>
  <si>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</si>
  <si>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</si>
  <si>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</si>
  <si>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</si>
  <si>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</si>
  <si>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</si>
  <si>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</si>
  <si>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</si>
  <si>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</si>
  <si>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</si>
  <si>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</si>
  <si>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</si>
  <si>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</si>
  <si>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</si>
  <si>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</si>
  <si>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</si>
  <si>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</si>
  <si>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</si>
  <si>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</si>
  <si>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</si>
  <si>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</si>
  <si>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</si>
  <si>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</si>
  <si>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</si>
  <si>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</si>
  <si>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</si>
  <si>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</si>
  <si>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</si>
  <si>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</si>
  <si>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</si>
  <si>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</si>
  <si>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</si>
  <si>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</si>
  <si>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</si>
  <si>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</si>
  <si>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</si>
  <si>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</si>
  <si>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</si>
  <si>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</si>
  <si>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</si>
  <si>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</si>
  <si>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</si>
  <si>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</si>
  <si>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</si>
  <si>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</si>
  <si>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</si>
  <si>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</si>
  <si>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</si>
  <si>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</si>
  <si>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</si>
  <si>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</si>
  <si>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</si>
  <si>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</si>
  <si>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</si>
  <si>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</si>
  <si>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</si>
  <si>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</si>
  <si>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</si>
  <si>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</si>
  <si>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</si>
  <si>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</si>
  <si>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</si>
  <si>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</si>
  <si>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</si>
  <si>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</si>
  <si>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</si>
  <si>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</si>
  <si>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</si>
  <si>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</si>
  <si>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</si>
  <si>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</si>
  <si>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</si>
  <si>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</si>
  <si>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</si>
  <si>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</si>
  <si>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</si>
  <si>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</si>
  <si>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</si>
  <si>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</si>
  <si>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</si>
  <si>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</si>
  <si>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</si>
  <si>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</si>
  <si>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</si>
  <si>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</si>
  <si>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</si>
  <si>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</si>
  <si>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</si>
  <si>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</si>
  <si>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</si>
  <si>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</si>
  <si>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</si>
  <si>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</si>
  <si>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</si>
  <si>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</si>
  <si>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</si>
  <si>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</si>
  <si>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</si>
  <si>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</si>
  <si>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</si>
  <si>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</si>
  <si>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</si>
  <si>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Pub Year = 2022
Method = Prioritization, Minimization</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</si>
  <si>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</si>
  <si>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</si>
  <si>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</si>
  <si>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</si>
  <si>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</si>
  <si>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</si>
  <si>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</si>
  <si>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</si>
  <si>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</si>
  <si>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</si>
  <si>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</si>
  <si>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</si>
  <si>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</si>
  <si>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</si>
  <si>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</si>
  <si>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</si>
  <si>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</si>
  <si>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</si>
  <si>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</si>
  <si>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</si>
  <si>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</si>
  <si>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</si>
  <si>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</si>
  <si>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</si>
  <si>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</si>
  <si>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</si>
  <si>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</si>
  <si>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</si>
  <si>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</si>
  <si>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</si>
  <si>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</si>
  <si>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</si>
  <si>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</si>
  <si>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</si>
  <si>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</si>
  <si>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</si>
  <si>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</si>
  <si>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</si>
  <si>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</si>
  <si>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</si>
  <si>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</si>
  <si>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</si>
  <si>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</si>
  <si>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</si>
  <si>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</si>
  <si>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</si>
  <si>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</si>
  <si>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</si>
  <si>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</si>
  <si>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</si>
  <si>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Segnato come PS ma é una SLR</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</si>
  <si>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</si>
  <si>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</si>
  <si>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</si>
  <si>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</si>
  <si>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</si>
  <si>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</si>
  <si>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</si>
  <si>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</si>
  <si>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</si>
  <si>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</si>
  <si>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</si>
  <si>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</si>
  <si>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</si>
  <si>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</si>
  <si>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</si>
  <si>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</si>
  <si>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</si>
  <si>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</si>
  <si>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</si>
  <si>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</si>
  <si>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</si>
  <si>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</si>
  <si>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</si>
  <si>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</si>
  <si>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</si>
  <si>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</si>
  <si>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</si>
  <si>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</si>
  <si>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</si>
  <si>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</si>
  <si>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</si>
  <si>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</si>
  <si>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</si>
  <si>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</si>
  <si>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</si>
  <si>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</si>
  <si>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</si>
  <si>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</si>
  <si>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</si>
  <si>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</si>
  <si>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</si>
  <si>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</si>
  <si>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</si>
  <si>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</si>
  <si>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</si>
  <si>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</si>
  <si>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</si>
  <si>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</si>
  <si>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</si>
  <si>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</si>
  <si>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</si>
  <si>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</si>
  <si>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</si>
  <si>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</si>
  <si>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</si>
  <si>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</si>
  <si>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</si>
  <si>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</si>
  <si>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</si>
  <si>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</si>
  <si>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</si>
  <si>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</si>
  <si>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</si>
  <si>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</si>
  <si>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</si>
  <si>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</si>
  <si>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</si>
  <si>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</si>
  <si>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</si>
  <si>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</si>
  <si>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</si>
  <si>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</si>
  <si>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</si>
  <si>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</si>
  <si>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</si>
  <si>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</si>
  <si>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</si>
  <si>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</si>
  <si>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</si>
  <si>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</si>
  <si>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</si>
  <si>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</si>
  <si>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1. 2017; 2. Selection and Prioritization</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</si>
  <si>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</si>
  <si>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</si>
  <si>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</si>
  <si>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</si>
  <si>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</si>
  <si>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</si>
  <si>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</si>
  <si>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</si>
  <si>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</si>
  <si>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</si>
  <si>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</si>
  <si>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</si>
  <si>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We should have skipped this paper in the quality appraisal phase, as it is not related.</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</si>
  <si>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</si>
  <si>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</si>
  <si>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</si>
  <si>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</si>
  <si>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</si>
  <si>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</si>
  <si>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</si>
  <si>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</si>
  <si>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</si>
  <si>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</si>
  <si>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</si>
  <si>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</si>
  <si>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</si>
  <si>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</si>
  <si>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</si>
  <si>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</si>
  <si>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</si>
  <si>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</si>
  <si>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</si>
  <si>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</si>
  <si>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</si>
  <si>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</si>
  <si>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</si>
  <si>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</si>
  <si>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</si>
  <si>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</si>
  <si>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</si>
  <si>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</si>
  <si>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</si>
  <si>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</si>
  <si>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</si>
  <si>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</si>
  <si>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</si>
  <si>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</si>
  <si>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</si>
  <si>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</si>
  <si>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</si>
  <si>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</si>
  <si>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</si>
  <si>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</si>
  <si>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</si>
  <si>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</si>
  <si>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</si>
  <si>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</si>
  <si>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</si>
  <si>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</si>
  <si>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</si>
  <si>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</si>
  <si>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</si>
  <si>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</si>
  <si>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</si>
  <si>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</si>
  <si>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</si>
  <si>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</si>
  <si>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</si>
  <si>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</si>
  <si>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</si>
  <si>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</si>
  <si>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</si>
  <si>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</si>
  <si>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</si>
  <si>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</si>
  <si>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</si>
  <si>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</si>
  <si>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</si>
  <si>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</si>
  <si>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</si>
  <si>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</si>
  <si>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</si>
  <si>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</si>
  <si>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</si>
  <si>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</si>
  <si>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</si>
  <si>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</si>
  <si>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</si>
  <si>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</si>
  <si>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</si>
  <si>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</si>
  <si>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</si>
  <si>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</si>
  <si>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</si>
  <si>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</si>
  <si>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</si>
  <si>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</si>
  <si>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</si>
  <si>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</si>
  <si>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</si>
  <si>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</si>
  <si>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</si>
  <si>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</si>
  <si>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</si>
  <si>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</si>
  <si>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</si>
  <si>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</si>
  <si>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</si>
  <si>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</si>
  <si>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</si>
  <si>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</si>
  <si>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</si>
  <si>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</si>
  <si>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</si>
  <si>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</si>
  <si>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</si>
  <si>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</si>
  <si>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</si>
  <si>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</si>
  <si>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</si>
  <si>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</si>
  <si>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</si>
  <si>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</si>
  <si>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</si>
  <si>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</si>
  <si>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</si>
  <si>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</si>
  <si>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</si>
  <si>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</si>
  <si>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</si>
  <si>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</si>
  <si>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</si>
  <si>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</si>
  <si>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</si>
  <si>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</si>
  <si>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</si>
  <si>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</si>
  <si>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</si>
  <si>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</si>
  <si>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</si>
  <si>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</si>
  <si>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</si>
  <si>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</si>
  <si>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</si>
  <si>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</si>
  <si>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</si>
  <si>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</si>
  <si>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</si>
  <si>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</si>
  <si>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</si>
  <si>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</si>
  <si>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</si>
  <si>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</si>
  <si>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</si>
  <si>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</si>
  <si>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</si>
  <si>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</si>
  <si>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</si>
  <si>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</si>
  <si>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</si>
  <si>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</si>
  <si>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</si>
  <si>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</si>
  <si>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</si>
  <si>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</si>
  <si>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</si>
  <si>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</si>
  <si>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</si>
  <si>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</si>
  <si>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</si>
  <si>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</si>
  <si>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</si>
  <si>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</si>
  <si>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</si>
  <si>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</si>
  <si>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</si>
  <si>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</si>
  <si>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</si>
  <si>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</si>
  <si>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</si>
  <si>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</si>
  <si>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</si>
  <si>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</si>
  <si>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</si>
  <si>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</si>
  <si>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</si>
  <si>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</si>
  <si>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</si>
  <si>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</si>
  <si>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</si>
  <si>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</si>
  <si>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</si>
  <si>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</si>
  <si>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</si>
  <si>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</si>
  <si>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</si>
  <si>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</si>
  <si>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</si>
  <si>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</si>
  <si>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</si>
  <si>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</si>
  <si>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</si>
  <si>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</si>
  <si>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</si>
  <si>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</si>
  <si>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</si>
  <si>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</si>
  <si>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</si>
  <si>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</si>
  <si>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</si>
  <si>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The greedy algorithm is used as a secondary objective together with defect proneness</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</si>
  <si>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</si>
  <si>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</si>
  <si>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</si>
  <si>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</si>
  <si>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</si>
  <si>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R Mukherjee, KS Patnaik</t>
  </si>
  <si>
    <t>Journal of King Saud University-Computer and Information Sciences, 2021</t>
  </si>
  <si>
    <t xml:space="preserve"> A survey on different approaches for software test case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</si>
  <si>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</si>
  <si>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</si>
  <si>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</si>
  <si>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</si>
  <si>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</si>
  <si>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</si>
  <si>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</si>
  <si>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</si>
  <si>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</si>
  <si>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</si>
  <si>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</si>
  <si>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</si>
  <si>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</si>
  <si>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It could be out of scope</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</si>
  <si>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</si>
  <si>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</si>
  <si>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</si>
  <si>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</si>
  <si>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1. 2019; 2. Selection and Prioritization</t>
  </si>
  <si>
    <t>Dynamic programming</t>
  </si>
  <si>
    <t>A manually developed case study</t>
  </si>
  <si>
    <t>1,000 scenarios</t>
  </si>
  <si>
    <t>memory consumption</t>
  </si>
  <si>
    <t>MJ Arafeen, H Do</t>
  </si>
  <si>
    <t>Test case prioritization using requirements-based clustering</t>
  </si>
  <si>
    <t>1. 2013; 2. Prioritization</t>
  </si>
  <si>
    <t>Two systems</t>
  </si>
  <si>
    <t>6.82 to 30.30 KLOC, 42 to 142 test cases</t>
  </si>
  <si>
    <t>Requirement-test case traceability matrix</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</si>
  <si>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</si>
  <si>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</si>
  <si>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</si>
  <si>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</si>
  <si>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</si>
  <si>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</si>
  <si>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</si>
  <si>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</si>
  <si>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</si>
  <si>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</si>
  <si>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</si>
  <si>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</si>
  <si>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</si>
  <si>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</si>
  <si>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</si>
  <si>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</si>
  <si>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</si>
  <si>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</si>
  <si>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</si>
  <si>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</si>
  <si>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</si>
  <si>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</si>
  <si>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</si>
  <si>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</si>
  <si>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</si>
  <si>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</si>
  <si>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</si>
  <si>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A Choudhary, AP Agrawal, A Kaur</t>
  </si>
  <si>
    <t>Proceedings of the 11th International Workshop on Search-Based Software Testing, 2018</t>
  </si>
  <si>
    <t>An effective approach for regression test case selection using pareto based multi-objective harmony search</t>
  </si>
  <si>
    <t xml:space="preserve">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</si>
  <si>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Selection</t>
  </si>
  <si>
    <t>Two-objectives (?) Not clear</t>
  </si>
  <si>
    <t>SIR (subset with 12 versions of 5 projects)</t>
  </si>
  <si>
    <t>Different domains; between 600 and 15 test cases; LOC not provided;</t>
  </si>
  <si>
    <t>Apparently none. They seed faults, and only seem to use fault coverage and execution time as objectives (!)</t>
  </si>
  <si>
    <t>Number of faults detected and execution time</t>
  </si>
  <si>
    <t>This is a low-quality work. Might have slipped through the QA</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</si>
  <si>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</si>
  <si>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</si>
  <si>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</si>
  <si>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</si>
  <si>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</si>
  <si>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</si>
  <si>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</si>
  <si>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</si>
  <si>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</si>
  <si>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</si>
  <si>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</si>
  <si>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</si>
  <si>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</si>
  <si>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Not applicable for SLR?</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</si>
  <si>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</si>
  <si>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</si>
  <si>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</si>
  <si>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</si>
  <si>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Prioritization, Selection, Minimization</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</si>
  <si>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</si>
  <si>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</si>
  <si>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</si>
  <si>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</si>
  <si>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</si>
  <si>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</si>
  <si>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</si>
  <si>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</si>
  <si>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</si>
  <si>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</si>
  <si>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</si>
  <si>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</si>
  <si>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Low quality work, not entirely clear</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</si>
  <si>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</si>
  <si>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</si>
  <si>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</si>
  <si>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</si>
  <si>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</si>
  <si>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</si>
  <si>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</si>
  <si>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</si>
  <si>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</si>
  <si>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</si>
  <si>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</si>
  <si>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</si>
  <si>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</si>
  <si>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</si>
  <si>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</si>
  <si>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</si>
  <si>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Github repo, no proper archival https://github.com/moji1/tp_rl</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</si>
  <si>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</si>
  <si>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</si>
  <si>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</si>
  <si>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</si>
  <si>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</si>
  <si>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</si>
  <si>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</si>
  <si>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</si>
  <si>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data and code available in two separate github repos</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</si>
  <si>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</si>
  <si>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</si>
  <si>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</si>
  <si>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</si>
  <si>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</si>
  <si>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</si>
  <si>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</si>
  <si>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</si>
  <si>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</si>
  <si>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</si>
  <si>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</si>
  <si>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</si>
  <si>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</si>
  <si>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</si>
  <si>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</si>
  <si>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</si>
  <si>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</si>
  <si>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</si>
  <si>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</si>
  <si>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</si>
  <si>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Jianlei Chia, Yu Quc, Qinghua Zhenga, Zijiang Yangb, Wuxia Jina, Di Cuia, Ting Liua</t>
  </si>
  <si>
    <t>The Journal of Systems and Software</t>
  </si>
  <si>
    <t>Test case prioritization (TCP), which aims at detecting faults as early as possible is broadly used in pro-
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
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
performs existing techniques on large programs in terms of bug detection capability, and also achieves
the highest mean APFD value. The performance demonstrates a growth trend as the size of the program
increases.</t>
  </si>
  <si>
    <t>Heuristic-based (greedy)</t>
  </si>
  <si>
    <t>8 projects used in prior studies</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</si>
  <si>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</si>
  <si>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</si>
  <si>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</si>
  <si>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</si>
  <si>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</si>
  <si>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</si>
  <si>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</si>
  <si>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</si>
  <si>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only code available on zenodo (no data)</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</si>
  <si>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</si>
  <si>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</si>
  <si>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</si>
  <si>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</si>
  <si>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</si>
  <si>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</si>
  <si>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</si>
  <si>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</si>
  <si>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available on zenodo</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</si>
  <si>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</si>
  <si>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</si>
  <si>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</si>
  <si>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</si>
  <si>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</si>
  <si>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</si>
  <si>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</si>
  <si>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</si>
  <si>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</si>
  <si>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</si>
  <si>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</si>
  <si>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</si>
  <si>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</si>
  <si>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</si>
  <si>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</si>
  <si>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</si>
  <si>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</si>
  <si>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</si>
  <si>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</si>
  <si>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</si>
  <si>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</si>
  <si>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</si>
  <si>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available on figshare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</si>
  <si>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</si>
  <si>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</si>
  <si>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</si>
  <si>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</si>
  <si>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</si>
  <si>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</si>
  <si>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</si>
  <si>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</si>
  <si>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</si>
  <si>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</si>
  <si>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</si>
  <si>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</si>
  <si>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</si>
  <si>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</si>
  <si>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</si>
  <si>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</si>
  <si>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</si>
  <si>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</si>
  <si>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</si>
  <si>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Selection; Prioritization</t>
  </si>
  <si>
    <t>History-based;</t>
  </si>
  <si>
    <t>Google Dataset</t>
  </si>
  <si>
    <t>3.5M records of test suite executions at google</t>
  </si>
  <si>
    <t>execution times and status of tests</t>
  </si>
  <si>
    <t>Fault-detection capability; APFD</t>
  </si>
  <si>
    <t>dataset available</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</si>
  <si>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</si>
  <si>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</si>
  <si>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</si>
  <si>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</si>
  <si>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</si>
  <si>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</si>
  <si>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no code nor artifacts (dataset public)</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</si>
  <si>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</si>
  <si>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</si>
  <si>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</si>
  <si>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</si>
  <si>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</si>
  <si>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</si>
  <si>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</si>
  <si>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</si>
  <si>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 xml:space="preserve">artifacts available on github </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</si>
  <si>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</si>
  <si>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</si>
  <si>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</si>
  <si>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</si>
  <si>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</si>
  <si>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</si>
  <si>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artifacts not found</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</si>
  <si>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</si>
  <si>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</si>
  <si>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</si>
  <si>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</si>
  <si>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</si>
  <si>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</si>
  <si>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</si>
  <si>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</si>
  <si>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some results still avilable on custom link https://www.epitropakis.co.uk/issta2015/</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</si>
  <si>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</si>
  <si>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</si>
  <si>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</si>
  <si>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</si>
  <si>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</si>
  <si>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</si>
  <si>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</si>
  <si>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</si>
  <si>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</si>
  <si>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originally available on github, now 404</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</si>
  <si>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</si>
  <si>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</si>
  <si>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</si>
  <si>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</si>
  <si>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</si>
  <si>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</si>
  <si>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</si>
  <si>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</si>
  <si>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</si>
  <si>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available upon request</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</si>
  <si>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</si>
  <si>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</si>
  <si>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</si>
  <si>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</si>
  <si>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</si>
  <si>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</si>
  <si>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</si>
  <si>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not very high quality work</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</si>
  <si>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</si>
  <si>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</si>
  <si>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</si>
  <si>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</si>
  <si>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</si>
  <si>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</si>
  <si>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</si>
  <si>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</si>
  <si>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</si>
  <si>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</si>
  <si>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</si>
  <si>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</si>
  <si>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</si>
  <si>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</si>
  <si>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</si>
  <si>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ponline appendix: https://www.cs.wm.edu/semeru/data/FSE16-TCPSTUDY/#tools</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</si>
  <si>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</si>
  <si>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</si>
  <si>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</si>
  <si>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</si>
  <si>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</si>
  <si>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</si>
  <si>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figshare</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</si>
  <si>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</si>
  <si>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</si>
  <si>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</si>
  <si>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</si>
  <si>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</si>
  <si>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</si>
  <si>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</si>
  <si>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</si>
  <si>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</si>
  <si>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</si>
  <si>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</si>
  <si>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</si>
  <si>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</si>
  <si>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</si>
  <si>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</si>
  <si>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</si>
  <si>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</si>
  <si>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</si>
  <si>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</si>
  <si>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</si>
  <si>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</si>
  <si>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</si>
  <si>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</si>
  <si>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</si>
  <si>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</si>
  <si>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</si>
  <si>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</si>
  <si>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</si>
  <si>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</si>
  <si>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</si>
  <si>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</si>
  <si>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</si>
  <si>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</si>
  <si>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</si>
  <si>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</si>
  <si>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</si>
  <si>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</si>
  <si>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</si>
  <si>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</si>
  <si>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</si>
  <si>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</si>
  <si>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</si>
  <si>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</si>
  <si>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</si>
  <si>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</si>
  <si>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</si>
  <si>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</si>
  <si>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</si>
  <si>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</si>
  <si>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</si>
  <si>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</si>
  <si>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</si>
  <si>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</si>
  <si>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</si>
  <si>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</si>
  <si>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</si>
  <si>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</si>
  <si>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</si>
  <si>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ee</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</si>
  <si>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</si>
  <si>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</si>
  <si>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</si>
  <si>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</si>
  <si>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</si>
  <si>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</si>
  <si>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</si>
  <si>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</si>
  <si>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</si>
  <si>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</si>
  <si>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</si>
  <si>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</si>
  <si>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</si>
  <si>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</si>
  <si>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</si>
  <si>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</si>
  <si>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</si>
  <si>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</si>
  <si>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</si>
  <si>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</si>
  <si>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</si>
  <si>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</si>
  <si>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</si>
  <si>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</si>
  <si>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</si>
  <si>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</si>
  <si>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</si>
  <si>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</si>
  <si>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</si>
  <si>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</si>
  <si>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</si>
  <si>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</si>
  <si>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</si>
  <si>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</si>
  <si>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</si>
  <si>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</si>
  <si>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</si>
  <si>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</si>
  <si>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</si>
  <si>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</si>
  <si>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</si>
  <si>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</si>
  <si>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</si>
  <si>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</si>
  <si>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</si>
  <si>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</si>
  <si>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</si>
  <si>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</si>
  <si>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</si>
  <si>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</si>
  <si>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</si>
  <si>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</si>
  <si>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</si>
  <si>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</si>
  <si>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</si>
  <si>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</si>
  <si>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r>
      <t>ML-based / IR-based</t>
    </r>
    <r>
      <rPr>
        <sz val="14"/>
        <color rgb="FFFF0000"/>
        <rFont val="-webkit-standard"/>
      </rPr>
      <t>: Utilizza tecniche di Machine Learning, Information Retrieval, o Natural Language Processing per prioritizzare/selezionare test case. Include approcci basati su topic modeling (LDA), recommender systems, TF-IDF, similarity measures su testo/codice, clustering, classification, etc.</t>
    </r>
  </si>
  <si>
    <t>ML-based Transfer Learning-based</t>
  </si>
  <si>
    <t>Heuristic-based greedy</t>
  </si>
  <si>
    <t>greed 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</si>
  <si>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</si>
  <si>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</si>
  <si>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</si>
  <si>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</si>
  <si>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</si>
  <si>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</si>
  <si>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</si>
  <si>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</si>
  <si>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</si>
  <si>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</si>
  <si>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</si>
  <si>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</si>
  <si>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</si>
  <si>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 xml:space="preserve"> </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</si>
  <si>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</si>
  <si>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</si>
  <si>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</si>
  <si>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</si>
  <si>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</si>
  <si>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</si>
  <si>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</si>
  <si>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</si>
  <si>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</si>
  <si>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</si>
  <si>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</si>
  <si>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</si>
  <si>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</si>
  <si>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</si>
  <si>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</si>
  <si>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</si>
  <si>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</si>
  <si>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</si>
  <si>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M57:M59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</si>
</sst>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4"/>
      <color rgb="FFFF0000"/>
      <name val="-webkit-standard"/>
    </font>
    <font>
      <sz val="12"/>
      <color rgb="FF000000"/>
      <name val="Aptos Narrow"/>
      <family val="2"/>
      <scheme val="minor"/>
    </font>
  </fonts>
  <fills count="7">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
      <patternFill patternType="solid">
        <fgColor theme="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0">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1" fillId="2" borderId="0" xfId="1" applyAlignment="1">
      <alignment wrapText="1"/>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3" fillId="6" borderId="0" xfId="0" applyFont="1" applyFill="1"/>
    <xf numFmtId="0" fontId="15" fillId="0" borderId="0" xfId="0" applyFont="1"/>
    <xf numFmtId="0" fontId="12" fillId="0" borderId="0" xfId="0" applyFont="1"/>
    <xf numFmtId="0" fontId="0" fillId="0" borderId="0" xfId="0" applyAlignment="1">
      <alignment horizontal="center" vertical="center" wrapText="1"/>
    </xf>
  </cellXfs>
  <cellStyles count="3">
    <cellStyle name="Bad" xfId="1" builtinId="27"/>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Foglio1!$FW$36</c:f>
              <c:strCache>
                <c:ptCount val="1"/>
                <c:pt idx="0">
                  <c:v>Integer Programming</c:v>
                </c:pt>
              </c:strCache>
            </c:strRef>
          </c:tx>
          <c:spPr>
            <a:solidFill>
              <a:schemeClr val="accent1"/>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Foglio1!$FW$37:$FW$49</c:f>
              <c:numCache>
                <c:formatCode>General</c:formatCode>
                <c:ptCount val="13"/>
                <c:pt idx="0">
                  <c:v>0</c:v>
                </c:pt>
                <c:pt idx="1">
                  <c:v>0</c:v>
                </c:pt>
                <c:pt idx="2">
                  <c:v>0</c:v>
                </c:pt>
                <c:pt idx="3">
                  <c:v>0</c:v>
                </c:pt>
                <c:pt idx="4">
                  <c:v>0</c:v>
                </c:pt>
                <c:pt idx="5">
                  <c:v>3</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Foglio1!$FX$36</c:f>
              <c:strCache>
                <c:ptCount val="1"/>
                <c:pt idx="0">
                  <c:v>Data-flow Analysis</c:v>
                </c:pt>
              </c:strCache>
            </c:strRef>
          </c:tx>
          <c:spPr>
            <a:solidFill>
              <a:schemeClr val="accent2"/>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Foglio1!$FY$36</c:f>
              <c:strCache>
                <c:ptCount val="1"/>
                <c:pt idx="0">
                  <c:v>Symbolic Execution</c:v>
                </c:pt>
              </c:strCache>
            </c:strRef>
          </c:tx>
          <c:spPr>
            <a:solidFill>
              <a:schemeClr val="bg2">
                <a:lumMod val="75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Foglio1!$FZ$36</c:f>
              <c:strCache>
                <c:ptCount val="1"/>
                <c:pt idx="0">
                  <c:v>Dynamic clicing-based</c:v>
                </c:pt>
              </c:strCache>
            </c:strRef>
          </c:tx>
          <c:spPr>
            <a:solidFill>
              <a:schemeClr val="accent4"/>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Foglio1!$GA$36</c:f>
              <c:strCache>
                <c:ptCount val="1"/>
                <c:pt idx="0">
                  <c:v>Graph-walk</c:v>
                </c:pt>
              </c:strCache>
            </c:strRef>
          </c:tx>
          <c:spPr>
            <a:solidFill>
              <a:schemeClr val="accent5"/>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Foglio1!$GB$36</c:f>
              <c:strCache>
                <c:ptCount val="1"/>
                <c:pt idx="0">
                  <c:v>Textual difference</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Foglio1!$GC$36</c:f>
              <c:strCache>
                <c:ptCount val="1"/>
                <c:pt idx="0">
                  <c:v>SDG slicing</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Foglio1!$GD$36</c:f>
              <c:strCache>
                <c:ptCount val="1"/>
                <c:pt idx="0">
                  <c:v>Path analysis</c:v>
                </c:pt>
              </c:strCache>
            </c:strRef>
          </c:tx>
          <c:spPr>
            <a:solidFill>
              <a:schemeClr val="accent2">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Foglio1!$GE$36</c:f>
              <c:strCache>
                <c:ptCount val="1"/>
                <c:pt idx="0">
                  <c:v>Modification-aware</c:v>
                </c:pt>
              </c:strCache>
            </c:strRef>
          </c:tx>
          <c:spPr>
            <a:solidFill>
              <a:schemeClr val="bg2">
                <a:lumMod val="1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Foglio1!$GE$37:$GE$49</c:f>
              <c:numCache>
                <c:formatCode>General</c:formatCode>
                <c:ptCount val="13"/>
                <c:pt idx="0">
                  <c:v>1</c:v>
                </c:pt>
                <c:pt idx="1">
                  <c:v>1</c:v>
                </c:pt>
                <c:pt idx="2">
                  <c:v>0</c:v>
                </c:pt>
                <c:pt idx="3">
                  <c:v>0</c:v>
                </c:pt>
                <c:pt idx="4">
                  <c:v>0</c:v>
                </c:pt>
                <c:pt idx="5">
                  <c:v>0</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Foglio1!$GF$36</c:f>
              <c:strCache>
                <c:ptCount val="1"/>
                <c:pt idx="0">
                  <c:v>Firewall</c:v>
                </c:pt>
              </c:strCache>
            </c:strRef>
          </c:tx>
          <c:spPr>
            <a:solidFill>
              <a:schemeClr val="accent4">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Foglio1!$GG$36</c:f>
              <c:strCache>
                <c:ptCount val="1"/>
                <c:pt idx="0">
                  <c:v>Cluster identification</c:v>
                </c:pt>
              </c:strCache>
            </c:strRef>
          </c:tx>
          <c:spPr>
            <a:solidFill>
              <a:schemeClr val="accent5">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Foglio1!$GH$36</c:f>
              <c:strCache>
                <c:ptCount val="1"/>
                <c:pt idx="0">
                  <c:v>Design-based</c:v>
                </c:pt>
              </c:strCache>
            </c:strRef>
          </c:tx>
          <c:spPr>
            <a:solidFill>
              <a:srgbClr val="FFFF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Foglio1!$GI$36</c:f>
              <c:strCache>
                <c:ptCount val="1"/>
                <c:pt idx="0">
                  <c:v>Hybrid</c:v>
                </c:pt>
              </c:strCache>
            </c:strRef>
          </c:tx>
          <c:spPr>
            <a:solidFill>
              <a:srgbClr val="C0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Foglio1!$GL$36</c:f>
              <c:strCache>
                <c:ptCount val="1"/>
                <c:pt idx="0">
                  <c:v>Coverage-based</c:v>
                </c:pt>
              </c:strCache>
            </c:strRef>
          </c:tx>
          <c:spPr>
            <a:solidFill>
              <a:schemeClr val="accent4">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Foglio1!$GN$36</c:f>
              <c:strCache>
                <c:ptCount val="1"/>
                <c:pt idx="0">
                  <c:v>Model-based</c:v>
                </c:pt>
              </c:strCache>
            </c:strRef>
          </c:tx>
          <c:spPr>
            <a:solidFill>
              <a:schemeClr val="accent6">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Foglio1!$GO$36</c:f>
              <c:strCache>
                <c:ptCount val="1"/>
                <c:pt idx="0">
                  <c:v>Hystory-based</c:v>
                </c:pt>
              </c:strCache>
            </c:strRef>
          </c:tx>
          <c:spPr>
            <a:solidFill>
              <a:srgbClr val="7030A0"/>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Foglio1!$GP$36</c:f>
              <c:strCache>
                <c:ptCount val="1"/>
                <c:pt idx="0">
                  <c:v>Cost-aware</c:v>
                </c:pt>
              </c:strCache>
            </c:strRef>
          </c:tx>
          <c:spPr>
            <a:solidFill>
              <a:schemeClr val="accent2">
                <a:lumMod val="8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Foglio1!$GP$37:$GP$49</c:f>
              <c:numCache>
                <c:formatCode>General</c:formatCode>
                <c:ptCount val="13"/>
                <c:pt idx="0">
                  <c:v>0</c:v>
                </c:pt>
                <c:pt idx="1">
                  <c:v>0</c:v>
                </c:pt>
                <c:pt idx="2">
                  <c:v>0</c:v>
                </c:pt>
                <c:pt idx="3">
                  <c:v>0</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Foglio1!$GQ$36</c:f>
              <c:strCache>
                <c:ptCount val="1"/>
                <c:pt idx="0">
                  <c:v>Similarity-based</c:v>
                </c:pt>
              </c:strCache>
            </c:strRef>
          </c:tx>
          <c:spPr>
            <a:solidFill>
              <a:schemeClr val="accent5">
                <a:lumMod val="40000"/>
                <a:lumOff val="6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Foglio1!$GR$36</c:f>
              <c:strCache>
                <c:ptCount val="1"/>
                <c:pt idx="0">
                  <c:v>Others</c:v>
                </c:pt>
              </c:strCache>
            </c:strRef>
          </c:tx>
          <c:spPr>
            <a:solidFill>
              <a:schemeClr val="accent4">
                <a:lumMod val="8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Foglio1!$GR$37:$GR$49</c:f>
              <c:numCache>
                <c:formatCode>General</c:formatCode>
                <c:ptCount val="13"/>
                <c:pt idx="0">
                  <c:v>1</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Foglio1!$FW$3:$FW$15</c:f>
              <c:numCache>
                <c:formatCode>General</c:formatCode>
                <c:ptCount val="13"/>
                <c:pt idx="0">
                  <c:v>2</c:v>
                </c:pt>
                <c:pt idx="1">
                  <c:v>2</c:v>
                </c:pt>
                <c:pt idx="2">
                  <c:v>2</c:v>
                </c:pt>
                <c:pt idx="3">
                  <c:v>3</c:v>
                </c:pt>
                <c:pt idx="4">
                  <c:v>3</c:v>
                </c:pt>
                <c:pt idx="5">
                  <c:v>4</c:v>
                </c:pt>
                <c:pt idx="6">
                  <c:v>8</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Foglio1!$FX$3:$FX$15</c:f>
              <c:numCache>
                <c:formatCode>General</c:formatCode>
                <c:ptCount val="13"/>
                <c:pt idx="0">
                  <c:v>2</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Foglio1!$FY$3:$FY$15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Foglio1!$GQ$3:$GQ$15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Foglio1!$FW$71</c:f>
              <c:strCache>
                <c:ptCount val="1"/>
                <c:pt idx="0">
                  <c:v>search-based</c:v>
                </c:pt>
              </c:strCache>
            </c:strRef>
          </c:tx>
          <c:spPr>
            <a:solidFill>
              <a:schemeClr val="accent1"/>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Foglio1!$FX$71</c:f>
              <c:strCache>
                <c:ptCount val="1"/>
                <c:pt idx="0">
                  <c:v>others</c:v>
                </c:pt>
              </c:strCache>
            </c:strRef>
          </c:tx>
          <c:spPr>
            <a:solidFill>
              <a:schemeClr val="accent2"/>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Foglio1!$FX$72:$FX$84</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Foglio1!$HA$2</c:f>
              <c:strCache>
                <c:ptCount val="1"/>
                <c:pt idx="0">
                  <c:v>Metaheuristic-based</c:v>
                </c:pt>
              </c:strCache>
            </c:strRef>
          </c:tx>
          <c:spPr>
            <a:solidFill>
              <a:srgbClr val="C0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Foglio1!$HB$2</c:f>
              <c:strCache>
                <c:ptCount val="1"/>
                <c:pt idx="0">
                  <c:v>Search-based</c:v>
                </c:pt>
              </c:strCache>
            </c:strRef>
          </c:tx>
          <c:spPr>
            <a:solidFill>
              <a:srgbClr val="FF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Foglio1!$HC$2</c:f>
              <c:strCache>
                <c:ptCount val="1"/>
                <c:pt idx="0">
                  <c:v>Heuristic-based</c:v>
                </c:pt>
              </c:strCache>
            </c:strRef>
          </c:tx>
          <c:spPr>
            <a:solidFill>
              <a:schemeClr val="accent3"/>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Foglio1!$HC$3:$HC$15</c:f>
              <c:numCache>
                <c:formatCode>General</c:formatCode>
                <c:ptCount val="13"/>
                <c:pt idx="0">
                  <c:v>3</c:v>
                </c:pt>
                <c:pt idx="1">
                  <c:v>4</c:v>
                </c:pt>
                <c:pt idx="2">
                  <c:v>6</c:v>
                </c:pt>
                <c:pt idx="3">
                  <c:v>4</c:v>
                </c:pt>
                <c:pt idx="4">
                  <c:v>3</c:v>
                </c:pt>
                <c:pt idx="5">
                  <c:v>3</c:v>
                </c:pt>
                <c:pt idx="6">
                  <c:v>6</c:v>
                </c:pt>
                <c:pt idx="7">
                  <c:v>2</c:v>
                </c:pt>
                <c:pt idx="8">
                  <c:v>3</c:v>
                </c:pt>
                <c:pt idx="9">
                  <c:v>8</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Foglio1!$HD$2</c:f>
              <c:strCache>
                <c:ptCount val="1"/>
                <c:pt idx="0">
                  <c:v>Machine Learning-based</c:v>
                </c:pt>
              </c:strCache>
            </c:strRef>
          </c:tx>
          <c:spPr>
            <a:solidFill>
              <a:srgbClr val="FFFF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Foglio1!$HE$2</c:f>
              <c:strCache>
                <c:ptCount val="1"/>
                <c:pt idx="0">
                  <c:v>Rule-based</c:v>
                </c:pt>
              </c:strCache>
            </c:strRef>
          </c:tx>
          <c:spPr>
            <a:solidFill>
              <a:schemeClr val="accent5"/>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Foglio1!$HF$2</c:f>
              <c:strCache>
                <c:ptCount val="1"/>
                <c:pt idx="0">
                  <c:v>Similarity-based</c:v>
                </c:pt>
              </c:strCache>
            </c:strRef>
          </c:tx>
          <c:spPr>
            <a:solidFill>
              <a:schemeClr val="accent1">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Foglio1!$HG$2</c:f>
              <c:strCache>
                <c:ptCount val="1"/>
                <c:pt idx="0">
                  <c:v>Model-based</c:v>
                </c:pt>
              </c:strCache>
            </c:strRef>
          </c:tx>
          <c:spPr>
            <a:solidFill>
              <a:schemeClr val="tx1"/>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Foglio1!$HH$2</c:f>
              <c:strCache>
                <c:ptCount val="1"/>
                <c:pt idx="0">
                  <c:v>Dependency-based</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Foglio1!$HI$2</c:f>
              <c:strCache>
                <c:ptCount val="1"/>
                <c:pt idx="0">
                  <c:v>Quantum-based</c:v>
                </c:pt>
              </c:strCache>
            </c:strRef>
          </c:tx>
          <c:spPr>
            <a:solidFill>
              <a:schemeClr val="accent3">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Foglio1!$HJ$2</c:f>
              <c:strCache>
                <c:ptCount val="1"/>
                <c:pt idx="0">
                  <c:v>Genetic-based</c:v>
                </c:pt>
              </c:strCache>
            </c:strRef>
          </c:tx>
          <c:spPr>
            <a:solidFill>
              <a:srgbClr val="0070C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Foglio1!$HK$2</c:f>
              <c:strCache>
                <c:ptCount val="1"/>
                <c:pt idx="0">
                  <c:v>Graph-based</c:v>
                </c:pt>
              </c:strCache>
            </c:strRef>
          </c:tx>
          <c:spPr>
            <a:solidFill>
              <a:schemeClr val="bg1">
                <a:lumMod val="85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Foglio1!$HL$2</c:f>
              <c:strCache>
                <c:ptCount val="1"/>
                <c:pt idx="0">
                  <c:v>Greedy</c:v>
                </c:pt>
              </c:strCache>
            </c:strRef>
          </c:tx>
          <c:spPr>
            <a:solidFill>
              <a:srgbClr val="92D05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Foglio1!$HL$3:$HL$15</c:f>
              <c:numCache>
                <c:formatCode>General</c:formatCode>
                <c:ptCount val="13"/>
                <c:pt idx="0">
                  <c:v>0</c:v>
                </c:pt>
                <c:pt idx="1">
                  <c:v>0</c:v>
                </c:pt>
                <c:pt idx="2">
                  <c:v>1</c:v>
                </c:pt>
                <c:pt idx="3">
                  <c:v>3</c:v>
                </c:pt>
                <c:pt idx="4">
                  <c:v>2</c:v>
                </c:pt>
                <c:pt idx="5">
                  <c:v>0</c:v>
                </c:pt>
                <c:pt idx="6">
                  <c:v>5</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Foglio1!$HM$2</c:f>
              <c:strCache>
                <c:ptCount val="1"/>
                <c:pt idx="0">
                  <c:v>Dynamic Programming</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Foglio1!$HM$3:$HM$15</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Foglio1!$HA$19</c:f>
              <c:strCache>
                <c:ptCount val="1"/>
                <c:pt idx="0">
                  <c:v>Metaheuristic-based</c:v>
                </c:pt>
              </c:strCache>
            </c:strRef>
          </c:tx>
          <c:spPr>
            <a:solidFill>
              <a:schemeClr val="accent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Foglio1!$HB$19</c:f>
              <c:strCache>
                <c:ptCount val="1"/>
                <c:pt idx="0">
                  <c:v>Search-based</c:v>
                </c:pt>
              </c:strCache>
            </c:strRef>
          </c:tx>
          <c:spPr>
            <a:solidFill>
              <a:schemeClr val="accent2"/>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Foglio1!$HC$19</c:f>
              <c:strCache>
                <c:ptCount val="1"/>
                <c:pt idx="0">
                  <c:v>Heuristic-based</c:v>
                </c:pt>
              </c:strCache>
            </c:strRef>
          </c:tx>
          <c:spPr>
            <a:solidFill>
              <a:schemeClr val="accent3"/>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Foglio1!$HC$20:$HC$32</c:f>
              <c:numCache>
                <c:formatCode>General</c:formatCode>
                <c:ptCount val="13"/>
                <c:pt idx="0">
                  <c:v>2</c:v>
                </c:pt>
                <c:pt idx="1">
                  <c:v>2</c:v>
                </c:pt>
                <c:pt idx="2">
                  <c:v>0</c:v>
                </c:pt>
                <c:pt idx="3">
                  <c:v>1</c:v>
                </c:pt>
                <c:pt idx="4">
                  <c:v>2</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Foglio1!$HD$19</c:f>
              <c:strCache>
                <c:ptCount val="1"/>
                <c:pt idx="0">
                  <c:v>ML-based</c:v>
                </c:pt>
              </c:strCache>
            </c:strRef>
          </c:tx>
          <c:spPr>
            <a:solidFill>
              <a:srgbClr val="FF00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Foglio1!$HD$20:$HD$32</c:f>
              <c:numCache>
                <c:formatCode>General</c:formatCode>
                <c:ptCount val="13"/>
                <c:pt idx="0">
                  <c:v>0</c:v>
                </c:pt>
                <c:pt idx="1">
                  <c:v>0</c:v>
                </c:pt>
                <c:pt idx="2">
                  <c:v>0</c:v>
                </c:pt>
                <c:pt idx="3">
                  <c:v>0</c:v>
                </c:pt>
                <c:pt idx="4">
                  <c:v>1</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Foglio1!$HE$19</c:f>
              <c:strCache>
                <c:ptCount val="1"/>
                <c:pt idx="0">
                  <c:v>Rule-based</c:v>
                </c:pt>
              </c:strCache>
            </c:strRef>
          </c:tx>
          <c:spPr>
            <a:solidFill>
              <a:schemeClr val="accent5"/>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Foglio1!$HF$19</c:f>
              <c:strCache>
                <c:ptCount val="1"/>
                <c:pt idx="0">
                  <c:v>Similarity-based</c:v>
                </c:pt>
              </c:strCache>
            </c:strRef>
          </c:tx>
          <c:spPr>
            <a:solidFill>
              <a:schemeClr val="accent6"/>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Foglio1!$HG$19</c:f>
              <c:strCache>
                <c:ptCount val="1"/>
                <c:pt idx="0">
                  <c:v>Model-based</c:v>
                </c:pt>
              </c:strCache>
            </c:strRef>
          </c:tx>
          <c:spPr>
            <a:solidFill>
              <a:schemeClr val="accent1">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Foglio1!$HH$19</c:f>
              <c:strCache>
                <c:ptCount val="1"/>
                <c:pt idx="0">
                  <c:v>Dependency-based</c:v>
                </c:pt>
              </c:strCache>
            </c:strRef>
          </c:tx>
          <c:spPr>
            <a:solidFill>
              <a:schemeClr val="accent2">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Foglio1!$HI$19</c:f>
              <c:strCache>
                <c:ptCount val="1"/>
                <c:pt idx="0">
                  <c:v>Quantum-based</c:v>
                </c:pt>
              </c:strCache>
            </c:strRef>
          </c:tx>
          <c:spPr>
            <a:solidFill>
              <a:schemeClr val="tx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Foglio1!$HJ$19</c:f>
              <c:strCache>
                <c:ptCount val="1"/>
                <c:pt idx="0">
                  <c:v>Genetic Algorithm</c:v>
                </c:pt>
              </c:strCache>
            </c:strRef>
          </c:tx>
          <c:spPr>
            <a:solidFill>
              <a:schemeClr val="accent4">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Foglio1!$HK$19</c:f>
              <c:strCache>
                <c:ptCount val="1"/>
                <c:pt idx="0">
                  <c:v>Graph-based</c:v>
                </c:pt>
              </c:strCache>
            </c:strRef>
          </c:tx>
          <c:spPr>
            <a:solidFill>
              <a:schemeClr val="tx2">
                <a:lumMod val="25000"/>
                <a:lumOff val="75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Foglio1!$HL$19</c:f>
              <c:strCache>
                <c:ptCount val="1"/>
                <c:pt idx="0">
                  <c:v>Greedy Algorithm</c:v>
                </c:pt>
              </c:strCache>
            </c:strRef>
          </c:tx>
          <c:spPr>
            <a:solidFill>
              <a:schemeClr val="accent6">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Foglio1!$HL$20:$HL$32</c:f>
              <c:numCache>
                <c:formatCode>General</c:formatCode>
                <c:ptCount val="13"/>
                <c:pt idx="0">
                  <c:v>0</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Foglio1!$HM$19</c:f>
              <c:strCache>
                <c:ptCount val="1"/>
                <c:pt idx="0">
                  <c:v>Dynamic Programming</c:v>
                </c:pt>
              </c:strCache>
            </c:strRef>
          </c:tx>
          <c:spPr>
            <a:solidFill>
              <a:srgbClr val="FFFF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Foglio1!$AR$3:$AR$15</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Foglio1!$AS$2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Foglio1!$AS$3:$AS$15</c:f>
              <c:numCache>
                <c:formatCode>General</c:formatCode>
                <c:ptCount val="13"/>
                <c:pt idx="0">
                  <c:v>2</c:v>
                </c:pt>
                <c:pt idx="1">
                  <c:v>2</c:v>
                </c:pt>
                <c:pt idx="2">
                  <c:v>0</c:v>
                </c:pt>
                <c:pt idx="3">
                  <c:v>2</c:v>
                </c:pt>
                <c:pt idx="4">
                  <c:v>3</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Foglio1!$AT$2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Foglio1!$AT$3:$AT$15</c:f>
              <c:numCache>
                <c:formatCode>General</c:formatCode>
                <c:ptCount val="13"/>
                <c:pt idx="0">
                  <c:v>4</c:v>
                </c:pt>
                <c:pt idx="1">
                  <c:v>6</c:v>
                </c:pt>
                <c:pt idx="2">
                  <c:v>8</c:v>
                </c:pt>
                <c:pt idx="3">
                  <c:v>7</c:v>
                </c:pt>
                <c:pt idx="4">
                  <c:v>6</c:v>
                </c:pt>
                <c:pt idx="5">
                  <c:v>8</c:v>
                </c:pt>
                <c:pt idx="6">
                  <c:v>12</c:v>
                </c:pt>
                <c:pt idx="7">
                  <c:v>6</c:v>
                </c:pt>
                <c:pt idx="8">
                  <c:v>6</c:v>
                </c:pt>
                <c:pt idx="9">
                  <c:v>17</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Foglio1!$AQ$2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Foglio1!$AQ$3:$AQ$15</c:f>
              <c:numCache>
                <c:formatCode>General</c:formatCode>
                <c:ptCount val="13"/>
                <c:pt idx="0">
                  <c:v>5</c:v>
                </c:pt>
                <c:pt idx="1">
                  <c:v>7</c:v>
                </c:pt>
                <c:pt idx="2">
                  <c:v>8</c:v>
                </c:pt>
                <c:pt idx="3">
                  <c:v>9</c:v>
                </c:pt>
                <c:pt idx="4">
                  <c:v>7</c:v>
                </c:pt>
                <c:pt idx="5">
                  <c:v>13</c:v>
                </c:pt>
                <c:pt idx="6">
                  <c:v>13</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Foglio1!$CO$3:$CO$15</c:f>
              <c:numCache>
                <c:formatCode>General</c:formatCode>
                <c:ptCount val="13"/>
                <c:pt idx="0">
                  <c:v>4</c:v>
                </c:pt>
                <c:pt idx="1">
                  <c:v>4</c:v>
                </c:pt>
                <c:pt idx="2">
                  <c:v>3</c:v>
                </c:pt>
                <c:pt idx="3">
                  <c:v>4</c:v>
                </c:pt>
                <c:pt idx="4">
                  <c:v>6</c:v>
                </c:pt>
                <c:pt idx="5">
                  <c:v>7</c:v>
                </c:pt>
                <c:pt idx="6">
                  <c:v>8</c:v>
                </c:pt>
                <c:pt idx="7">
                  <c:v>4</c:v>
                </c:pt>
                <c:pt idx="8">
                  <c:v>2</c:v>
                </c:pt>
                <c:pt idx="9">
                  <c:v>7</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dLblPos val="outEnd"/>
          <c:showLegendKey val="0"/>
          <c:showVal val="1"/>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154069</xdr:colOff>
      <xdr:row>3</xdr:row>
      <xdr:rowOff>3497091</xdr:rowOff>
    </xdr:from>
    <xdr:to>
      <xdr:col>58</xdr:col>
      <xdr:colOff>553552</xdr:colOff>
      <xdr:row>4</xdr:row>
      <xdr:rowOff>4536703</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521116</xdr:colOff>
      <xdr:row>1</xdr:row>
      <xdr:rowOff>4993901</xdr:rowOff>
    </xdr:from>
    <xdr:to>
      <xdr:col>53</xdr:col>
      <xdr:colOff>707383</xdr:colOff>
      <xdr:row>3</xdr:row>
      <xdr:rowOff>1312689</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87</xdr:col>
      <xdr:colOff>379211</xdr:colOff>
      <xdr:row>1</xdr:row>
      <xdr:rowOff>41497</xdr:rowOff>
    </xdr:from>
    <xdr:to>
      <xdr:col>97</xdr:col>
      <xdr:colOff>143098</xdr:colOff>
      <xdr:row>2</xdr:row>
      <xdr:rowOff>697604</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6"/>
  <sheetViews>
    <sheetView tabSelected="1" topLeftCell="CM1" zoomScale="107" zoomScaleNormal="107" workbookViewId="0">
      <selection activeCell="FN11" sqref="FN11"/>
    </sheetView>
  </sheetViews>
  <sheetFormatPr defaultColWidth="11.19921875" defaultRowHeight="15.6"/>
  <cols>
    <col min="27" max="27" width="22.19921875" customWidth="1"/>
    <col min="30" max="30" width="21.19921875" customWidth="1"/>
    <col min="32" max="32" width="8.69921875" customWidth="1"/>
    <col min="33" max="33" width="50.19921875" customWidth="1"/>
  </cols>
  <sheetData>
    <row r="1" spans="1:2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1" t="s">
        <v>1259</v>
      </c>
      <c r="AL1" s="31" t="s">
        <v>1260</v>
      </c>
      <c r="AM1" s="31" t="s">
        <v>1018</v>
      </c>
      <c r="AN1" s="31" t="s">
        <v>1051</v>
      </c>
      <c r="AW1" s="32"/>
      <c r="AX1" s="32"/>
      <c r="AY1" s="32" t="s">
        <v>1378</v>
      </c>
      <c r="AZ1" t="s">
        <v>91</v>
      </c>
      <c r="BA1" t="s">
        <v>1383</v>
      </c>
      <c r="BB1" s="32" t="s">
        <v>1345</v>
      </c>
      <c r="BC1" s="32" t="s">
        <v>1347</v>
      </c>
      <c r="BD1" s="32" t="s">
        <v>1379</v>
      </c>
      <c r="BE1" s="32" t="s">
        <v>1346</v>
      </c>
      <c r="BH1" s="32" t="s">
        <v>1378</v>
      </c>
      <c r="BI1" s="32" t="s">
        <v>409</v>
      </c>
      <c r="BJ1" s="32" t="s">
        <v>1384</v>
      </c>
      <c r="BK1" s="32" t="s">
        <v>1345</v>
      </c>
      <c r="BL1" s="32" t="s">
        <v>1347</v>
      </c>
      <c r="BM1" s="32" t="s">
        <v>207</v>
      </c>
      <c r="BN1" s="32" t="s">
        <v>1346</v>
      </c>
      <c r="BO1" s="32" t="s">
        <v>1393</v>
      </c>
      <c r="BP1" t="s">
        <v>66</v>
      </c>
      <c r="BQ1" t="s">
        <v>1394</v>
      </c>
      <c r="BR1" t="s">
        <v>1395</v>
      </c>
      <c r="BS1" t="s">
        <v>1396</v>
      </c>
      <c r="BT1" t="s">
        <v>1397</v>
      </c>
      <c r="BU1" t="s">
        <v>1317</v>
      </c>
      <c r="BV1" t="s">
        <v>1398</v>
      </c>
      <c r="BX1" t="s">
        <v>1378</v>
      </c>
      <c r="BY1" t="s">
        <v>66</v>
      </c>
      <c r="BZ1" t="s">
        <v>1394</v>
      </c>
      <c r="CA1" t="s">
        <v>1395</v>
      </c>
      <c r="CB1" t="s">
        <v>1396</v>
      </c>
      <c r="CC1" t="s">
        <v>1397</v>
      </c>
      <c r="CD1" t="s">
        <v>1317</v>
      </c>
      <c r="CE1" t="s">
        <v>1398</v>
      </c>
      <c r="CG1" t="s">
        <v>1378</v>
      </c>
      <c r="CH1" t="s">
        <v>1399</v>
      </c>
      <c r="CI1" t="s">
        <v>1400</v>
      </c>
      <c r="CJ1" t="s">
        <v>1397</v>
      </c>
      <c r="CK1" t="s">
        <v>1401</v>
      </c>
      <c r="CL1" t="s">
        <v>1398</v>
      </c>
      <c r="CN1" t="s">
        <v>1355</v>
      </c>
      <c r="CU1" t="s">
        <v>1309</v>
      </c>
      <c r="CV1" t="s">
        <v>1402</v>
      </c>
      <c r="CW1" t="s">
        <v>1403</v>
      </c>
      <c r="CX1" t="s">
        <v>1287</v>
      </c>
      <c r="CY1" s="37" t="s">
        <v>1402</v>
      </c>
      <c r="CZ1" t="s">
        <v>1408</v>
      </c>
      <c r="FQ1" s="32" t="s">
        <v>1264</v>
      </c>
      <c r="FR1" s="32"/>
      <c r="FS1" s="32"/>
      <c r="FT1" s="32"/>
      <c r="FV1" t="s">
        <v>1305</v>
      </c>
      <c r="GZ1" t="s">
        <v>1309</v>
      </c>
    </row>
    <row r="2" spans="1:221" ht="409.6">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1383</v>
      </c>
      <c r="AC2" s="2"/>
      <c r="AD2" s="2" t="s">
        <v>47</v>
      </c>
      <c r="AE2" s="2"/>
      <c r="AF2" s="2"/>
      <c r="AG2" s="2"/>
      <c r="AH2" s="2">
        <v>0</v>
      </c>
      <c r="AK2">
        <f>IF(Y2="PS",1,0)</f>
        <v>0</v>
      </c>
      <c r="AL2">
        <f>IF(AND(Y2="PS",ISNUMBER(SEARCH("minimization",Z2))),1,0)</f>
        <v>0</v>
      </c>
      <c r="AM2">
        <f>IF(AND(Y2="PS",ISNUMBER(SEARCH("selection",Z2))),1,0)</f>
        <v>0</v>
      </c>
      <c r="AN2">
        <f>IF(AND(Y2="PS",ISNUMBER(SEARCH("prioritization",Z2))),1,0)</f>
        <v>0</v>
      </c>
      <c r="AP2" s="32" t="s">
        <v>1258</v>
      </c>
      <c r="AQ2" s="32" t="s">
        <v>1261</v>
      </c>
      <c r="AR2" s="32" t="s">
        <v>1260</v>
      </c>
      <c r="AS2" s="32" t="s">
        <v>1018</v>
      </c>
      <c r="AT2" s="32" t="s">
        <v>1051</v>
      </c>
      <c r="AY2" t="s">
        <v>408</v>
      </c>
      <c r="AZ2" s="37" cm="1">
        <f t="array" ref="AZ2">SUMPRODUCT(($Y$2:$Y$1000="PS")*(ISNUMBER(FIND(UPPER("prioritization"),UPPER($Z$2:$Z$1000))))*(ISNUMBER(FIND(UPPER("coverage"),UPPER($AA$2:$AA$1000))))*((ISNUMBER(FIND(UPPER("heuristic"),UPPER($AB$2:$AB$1000))))*(NOT(ISNUMBER(FIND(UPPER("meta"),UPPER($AB$2:$AB$1000)))))))</f>
        <v>12</v>
      </c>
      <c r="BA2" cm="1">
        <f t="array" ref="BA2">SUMPRODUCT(($Y$2:$Y$1000="PS")*(ISNUMBER(FIND(UPPER("prioritization"),UPPER($Z$2:$Z$1000))))*(ISNUMBER(FIND(UPPER("coverage"),UPPER($AA$2:$AA$1000))))*((ISNUMBER(FIND(UPPER("metaheuristic"),UPPER($AB$2:$AB$1000))))+(ISNUMBER(FIND(UPPER("meta-heuristic"),UPPER($AB$2:$AB$1000))))))</f>
        <v>12</v>
      </c>
      <c r="BB2" cm="1">
        <f t="array" ref="BB2">SUMPRODUCT(($Y$2:$Y$1000="PS")*(ISNUMBER(FIND(UPPER("prioritization"),UPPER($Z$2:$Z$1000))))*(ISNUMBER(FIND(UPPER("coverage"),UPPER($AA$2:$AA$1000))))*(ISNUMBER(FIND(UPPER("graph"),UPPER($AB$2:$AB$1000)))))</f>
        <v>3</v>
      </c>
      <c r="BC2" cm="1">
        <f t="array" ref="BC2">SUMPRODUCT(($Y$2:$Y$1000="PS")*(ISNUMBER(FIND(UPPER("prioritization"),UPPER($Z$2:$Z$1000))))*(ISNUMBER(FIND(UPPER("coverage"),UPPER($AA$2:$AA$1000))))*(ISNUMBER(FIND(UPPER("dynamic programming"),UPPER($AB$2:$AB$1000)))))</f>
        <v>0</v>
      </c>
      <c r="BD2" cm="1">
        <f t="array" ref="BD2">SUMPRODUCT(($Y$2:$Y$1000="PS")*(ISNUMBER(FIND(UPPER("prioritization"),UPPER($Z$2:$Z$1000))))*(ISNUMBER(FIND(UPPER("coverage"),UPPER($AA$2:$AA$1000))))*(ISNUMBER(FIND(UPPER("ml-based"),UPPER($AB$2:$AB$1000)))))</f>
        <v>5</v>
      </c>
      <c r="BE2" cm="1">
        <f t="array" ref="BE2">SUMPRODUCT(($Y$2:$Y$1000="PS")*(ISNUMBER(FIND(UPPER("prioritization"),UPPER($Z$2:$Z$1000))))*(ISNUMBER(FIND(UPPER("coverage"),UPPER($AA$2:$AA$1000))))*(ISNUMBER(FIND(UPPER("greedy"),UPPER($AB$2:$AB$1000)))))</f>
        <v>15</v>
      </c>
      <c r="BH2" t="s">
        <v>1326</v>
      </c>
      <c r="BI2" cm="1">
        <f t="array" ref="BI2">SUMPRODUCT(($Y$2:$Y$1000="PS")*(ISNUMBER(FIND(UPPER("selection"),UPPER($Z$2:$Z$1000))))*(ISNUMBER(FIND(UPPER("integer programming"),UPPER($AA$2:$AA$1000))))*((ISNUMBER(FIND(UPPER("heuristic"),UPPER($AB$2:$AB$1000))))*(NOT(ISNUMBER(FIND(UPPER("meta"),UPPER($AB$2:$AB$1000)))))))</f>
        <v>0</v>
      </c>
      <c r="BJ2" cm="1">
        <f t="array" ref="BJ2">SUMPRODUCT(($Y$2:$Y$1000="PS")*(ISNUMBER(FIND(UPPER("selection"),UPPER($Z$2:$Z$1000))))*(ISNUMBER(FIND(UPPER("integer programming"),UPPER($AA$2:$AA$1000))))*((ISNUMBER(FIND(UPPER("metaheuristic"),UPPER($AB$2:$AB$1000))))+(ISNUMBER(FIND(UPPER("meta-heuristic"),UPPER($AB$2:$AB$1000))))))</f>
        <v>4</v>
      </c>
      <c r="BK2" cm="1">
        <f t="array" ref="BK2">SUMPRODUCT(($Y$2:$Y$1000="PS")*(ISNUMBER(FIND(UPPER("selection"),UPPER($Z$2:$Z$1000))))*(ISNUMBER(FIND(UPPER("integer programming"),UPPER($AA$2:$AA$1000))))*(ISNUMBER(FIND(UPPER("graph"),UPPER($AB$2:$AB$1000)))))</f>
        <v>0</v>
      </c>
      <c r="BL2" cm="1">
        <f t="array" ref="BL2">SUMPRODUCT(($Y$2:$Y$1000="PS")*(ISNUMBER(FIND(UPPER("selection"),UPPER($Z$2:$Z$1000))))*(ISNUMBER(FIND(UPPER("integer programming"),UPPER($AA$2:$AA$1000))))*(ISNUMBER(FIND(UPPER("dynamic programming"),UPPER($AB$2:$AB$1000)))))</f>
        <v>1</v>
      </c>
      <c r="BM2" cm="1">
        <f t="array" ref="BM2">SUMPRODUCT(($Y$2:$Y$1000="PS")*(ISNUMBER(FIND(UPPER("selection"),UPPER($Z$2:$Z$1000))))*(ISNUMBER(FIND(UPPER("integer programming"),UPPER($AA$2:$AA$1000))))*(ISNUMBER(FIND(UPPER("ml-based"),UPPER($AB$2:$AB$1000)))))</f>
        <v>0</v>
      </c>
      <c r="BN2" cm="1">
        <f t="array" ref="BN2">SUMPRODUCT(($Y$2:$Y$1000="PS")*(ISNUMBER(FIND(UPPER("selection"),UPPER($Z$2:$Z$1000))))*(ISNUMBER(FIND(UPPER("integer programming"),UPPER($AA$2:$AA$1000))))*(ISNUMBER(FIND(UPPER("greedy"),UPPER($AB$2:$AB$1000)))))</f>
        <v>0</v>
      </c>
      <c r="BP2">
        <v>74</v>
      </c>
      <c r="BQ2">
        <v>2</v>
      </c>
      <c r="BR2">
        <v>8</v>
      </c>
      <c r="BS2">
        <v>9</v>
      </c>
      <c r="BT2">
        <v>4</v>
      </c>
      <c r="BU2">
        <v>13</v>
      </c>
      <c r="BV2">
        <v>11</v>
      </c>
      <c r="BX2" t="s">
        <v>408</v>
      </c>
      <c r="BY2">
        <v>34</v>
      </c>
      <c r="BZ2">
        <v>2</v>
      </c>
      <c r="CA2">
        <v>5</v>
      </c>
      <c r="CB2">
        <v>6</v>
      </c>
      <c r="CC2">
        <v>1</v>
      </c>
      <c r="CD2">
        <v>6</v>
      </c>
      <c r="CE2">
        <v>4</v>
      </c>
      <c r="CG2" t="s">
        <v>1326</v>
      </c>
      <c r="CI2">
        <v>1</v>
      </c>
      <c r="CK2">
        <v>1</v>
      </c>
      <c r="CL2">
        <v>2</v>
      </c>
      <c r="CN2" t="s">
        <v>1306</v>
      </c>
      <c r="CO2">
        <v>0</v>
      </c>
      <c r="CP2">
        <v>0.5</v>
      </c>
      <c r="CQ2">
        <v>1</v>
      </c>
      <c r="CV2" t="s">
        <v>47</v>
      </c>
      <c r="CW2">
        <v>18</v>
      </c>
      <c r="CY2" s="37" t="s">
        <v>47</v>
      </c>
      <c r="CZ2">
        <v>5</v>
      </c>
      <c r="FQ2" t="s">
        <v>1265</v>
      </c>
      <c r="FR2" t="s">
        <v>1266</v>
      </c>
      <c r="FS2" t="s">
        <v>1267</v>
      </c>
      <c r="FT2" t="s">
        <v>1268</v>
      </c>
      <c r="FV2" t="s">
        <v>1306</v>
      </c>
      <c r="FW2" t="s">
        <v>408</v>
      </c>
      <c r="FX2" t="s">
        <v>1318</v>
      </c>
      <c r="FY2" t="s">
        <v>142</v>
      </c>
      <c r="FZ2" t="s">
        <v>1319</v>
      </c>
      <c r="GA2" t="s">
        <v>1320</v>
      </c>
      <c r="GB2" t="s">
        <v>114</v>
      </c>
      <c r="GC2" t="s">
        <v>60</v>
      </c>
      <c r="GD2" t="s">
        <v>1321</v>
      </c>
      <c r="GE2" t="s">
        <v>1322</v>
      </c>
      <c r="GF2" t="s">
        <v>292</v>
      </c>
      <c r="GG2" t="s">
        <v>395</v>
      </c>
      <c r="GH2" t="s">
        <v>454</v>
      </c>
      <c r="GI2" t="s">
        <v>207</v>
      </c>
      <c r="GJ2" t="s">
        <v>91</v>
      </c>
      <c r="GK2" t="s">
        <v>61</v>
      </c>
      <c r="GL2" t="s">
        <v>1350</v>
      </c>
      <c r="GM2" t="s">
        <v>1323</v>
      </c>
      <c r="GN2" t="s">
        <v>1324</v>
      </c>
      <c r="GO2" t="s">
        <v>1325</v>
      </c>
      <c r="GP2" t="s">
        <v>966</v>
      </c>
      <c r="GQ2" t="s">
        <v>1351</v>
      </c>
      <c r="GU2" t="s">
        <v>1352</v>
      </c>
      <c r="GV2" t="s">
        <v>1353</v>
      </c>
      <c r="GW2" t="s">
        <v>1354</v>
      </c>
      <c r="GZ2" t="s">
        <v>1306</v>
      </c>
      <c r="HA2" t="s">
        <v>46</v>
      </c>
      <c r="HB2" t="s">
        <v>61</v>
      </c>
      <c r="HC2" t="s">
        <v>91</v>
      </c>
      <c r="HD2" t="s">
        <v>1340</v>
      </c>
      <c r="HE2" t="s">
        <v>1341</v>
      </c>
      <c r="HF2" t="s">
        <v>1322</v>
      </c>
      <c r="HG2" t="s">
        <v>60</v>
      </c>
      <c r="HH2" t="s">
        <v>1342</v>
      </c>
      <c r="HI2" t="s">
        <v>1343</v>
      </c>
      <c r="HJ2" t="s">
        <v>1344</v>
      </c>
      <c r="HK2" t="s">
        <v>1345</v>
      </c>
      <c r="HL2" t="s">
        <v>1346</v>
      </c>
      <c r="HM2" t="s">
        <v>1347</v>
      </c>
    </row>
    <row r="3" spans="1:221" ht="409.6">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1371</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SUMIF(F:F,AP3,AK:AK)</f>
        <v>5</v>
      </c>
      <c r="AR3">
        <f t="shared" ref="AR3:AR15" si="3">SUMIF(F:F,AP3,AL:AL)</f>
        <v>1</v>
      </c>
      <c r="AS3">
        <f>SUMIF(F:F,AP3,AM:AM)</f>
        <v>2</v>
      </c>
      <c r="AT3">
        <f t="shared" ref="AT3:AT15" si="4">SUMIF(F:F,AP3,AN:AN)</f>
        <v>4</v>
      </c>
      <c r="AY3" t="s">
        <v>90</v>
      </c>
      <c r="AZ3" cm="1">
        <f t="array" ref="AZ3">SUMPRODUCT(($Y$2:$Y$1000="PS")*(ISNUMBER(FIND(UPPER("prioritization"),UPPER($Z$2:$Z$1000))))*(ISNUMBER(FIND(UPPER("requirement"),UPPER($AA$2:$AA$1000))))*((ISNUMBER(FIND(UPPER("heuristic"),UPPER($AB$2:$AB$1000))))*(NOT(ISNUMBER(FIND(UPPER("meta"),UPPER($AB$2:$AB$1000)))))))</f>
        <v>4</v>
      </c>
      <c r="BA3" cm="1">
        <f t="array" ref="BA3">SUMPRODUCT(($Y$2:$Y$1000="PS")*(ISNUMBER(FIND(UPPER("prioritization"),UPPER($Z$2:$Z$1000))))*(ISNUMBER(FIND(UPPER("requirement"),UPPER($AA$2:$AA$1000))))*((ISNUMBER(FIND(UPPER("metaheuristic"),UPPER($AB$2:$AB$1000))))+(ISNUMBER(FIND(UPPER("meta-heuristic"),UPPER($AB$2:$AB$1000))))))</f>
        <v>1</v>
      </c>
      <c r="BB3" cm="1">
        <f t="array" ref="BB3">SUMPRODUCT(($Y$2:$Y$1000="PS")*(ISNUMBER(FIND(UPPER("prioritization"),UPPER($Z$2:$Z$1000))))*(ISNUMBER(FIND(UPPER("requirement"),UPPER($AA$2:$AA$1000))))*(ISNUMBER(FIND(UPPER("graph"),UPPER($AB$2:$AB$1000)))))</f>
        <v>0</v>
      </c>
      <c r="BC3" cm="1">
        <f t="array" ref="BC3">SUMPRODUCT(($Y$2:$Y$1000="PS")*(ISNUMBER(FIND(UPPER("prioritization"),UPPER($Z$2:$Z$1000))))*(ISNUMBER(FIND(UPPER("requirement"),UPPER($AA$2:$AA$1000))))*(ISNUMBER(FIND(UPPER("dynamic programming"),UPPER($AB$2:$AB$1000)))))</f>
        <v>0</v>
      </c>
      <c r="BD3" cm="1">
        <f t="array" ref="BD3">SUMPRODUCT(($Y$2:$Y$1000="PS")*(ISNUMBER(FIND(UPPER("prioritization"),UPPER($Z$2:$Z$1000))))*(ISNUMBER(FIND(UPPER("requirement"),UPPER($AA$2:$AA$1000))))*(ISNUMBER(FIND(UPPER("ml-based"),UPPER($AB$2:$AB$1000)))))</f>
        <v>2</v>
      </c>
      <c r="BE3" cm="1">
        <f t="array" ref="BE3">SUMPRODUCT(($Y$2:$Y$1000="PS")*(ISNUMBER(FIND(UPPER("prioritization"),UPPER($Z$2:$Z$1000))))*(ISNUMBER(FIND(UPPER("requirement"),UPPER($AA$2:$AA$1000))))*(ISNUMBER(FIND(UPPER("greedy"),UPPER($AB$2:$AB$1000)))))</f>
        <v>0</v>
      </c>
      <c r="BH3" t="s">
        <v>1381</v>
      </c>
      <c r="BI3" cm="1">
        <f t="array" ref="BI3">SUMPRODUCT(($Y$2:$Y$1000="PS")*(ISNUMBER(FIND(UPPER("selection"),UPPER($Z$2:$Z$1000))))*(ISNUMBER(FIND(UPPER("data-flow"),UPPER($AA$2:$AA$1000))))*((ISNUMBER(FIND(UPPER("heuristic"),UPPER($AB$2:$AB$1000))))*(NOT(ISNUMBER(FIND(UPPER("meta"),UPPER($AB$2:$AB$1000)))))))</f>
        <v>0</v>
      </c>
      <c r="BJ3" cm="1">
        <f t="array" ref="BJ3">SUMPRODUCT(($Y$2:$Y$1000="PS")*(ISNUMBER(FIND(UPPER("selection"),UPPER($Z$2:$Z$1000))))*(ISNUMBER(FIND(UPPER("data-flow"),UPPER($AA$2:$AA$1000))))*((ISNUMBER(FIND(UPPER("metaheuristic"),UPPER($AB$2:$AB$1000))))+(ISNUMBER(FIND(UPPER("meta-heuristic"),UPPER($AB$2:$AB$1000))))))</f>
        <v>0</v>
      </c>
      <c r="BK3" cm="1">
        <f t="array" ref="BK3">SUMPRODUCT(($Y$2:$Y$1000="PS")*(ISNUMBER(FIND(UPPER("selection"),UPPER($Z$2:$Z$1000))))*(ISNUMBER(FIND(UPPER("data-flow"),UPPER($AA$2:$AA$1000))))*(ISNUMBER(FIND(UPPER("graph"),UPPER($AB$2:$AB$1000)))))</f>
        <v>0</v>
      </c>
      <c r="BL3" cm="1">
        <f t="array" ref="BL3">SUMPRODUCT(($Y$2:$Y$1000="PS")*(ISNUMBER(FIND(UPPER("selection"),UPPER($Z$2:$Z$1000))))*(ISNUMBER(FIND(UPPER("data-flow"),UPPER($AA$2:$AA$1000))))*(ISNUMBER(FIND(UPPER("dynamic programming"),UPPER($AB$2:$AB$1000)))))</f>
        <v>0</v>
      </c>
      <c r="BM3" cm="1">
        <f t="array" ref="BM3">SUMPRODUCT(($Y$2:$Y$1000="PS")*(ISNUMBER(FIND(UPPER("selection"),UPPER($Z$2:$Z$1000))))*(ISNUMBER(FIND(UPPER("data-flow"),UPPER($AA$2:$AA$1000))))*(ISNUMBER(FIND(UPPER("ml-based"),UPPER($AB$2:$AB$1000)))))</f>
        <v>0</v>
      </c>
      <c r="BN3" cm="1">
        <f t="array" ref="BN3">SUMPRODUCT(($Y$2:$Y$1000="PS")*(ISNUMBER(FIND(UPPER("selection"),UPPER($Z$2:$Z$1000))))*(ISNUMBER(FIND(UPPER("data-flow"),UPPER($AA$2:$AA$1000))))*(ISNUMBER(FIND(UPPER("greedy"),UPPER($AB$2:$AB$1000)))))</f>
        <v>0</v>
      </c>
      <c r="BO3" s="33" t="s">
        <v>1287</v>
      </c>
      <c r="BP3" t="s">
        <v>1399</v>
      </c>
      <c r="BQ3" t="s">
        <v>1400</v>
      </c>
      <c r="BR3" t="s">
        <v>1397</v>
      </c>
      <c r="BS3" t="s">
        <v>1401</v>
      </c>
      <c r="BT3" t="s">
        <v>1398</v>
      </c>
      <c r="BX3" t="s">
        <v>90</v>
      </c>
      <c r="BY3">
        <v>5</v>
      </c>
      <c r="BZ3">
        <v>1</v>
      </c>
      <c r="CG3" t="s">
        <v>1381</v>
      </c>
      <c r="CN3">
        <v>2013</v>
      </c>
      <c r="CO3" cm="1">
        <f t="array" ref="CO3">SUMPRODUCT((Y$2:Y$1000="PS")*(F$2:F$1000=$CN3)*(AH$2:AH$1000=0))</f>
        <v>4</v>
      </c>
      <c r="CP3" cm="1">
        <f t="array" ref="CP3">SUMPRODUCT((Y$2:Y$1000="PS")*(F$2:F$1000=$CN3)*(AH$2:AH$1000=0.5))</f>
        <v>1</v>
      </c>
      <c r="CQ3" cm="1">
        <f t="array" ref="CQ3">SUMPRODUCT((Y$2:Y$1000="PS")*(F$2:F$1000=$CN3)*(AH$2:AH$1000=1))</f>
        <v>0</v>
      </c>
      <c r="CS3" s="38"/>
      <c r="CT3" s="38"/>
      <c r="CV3" t="s">
        <v>1404</v>
      </c>
      <c r="CW3">
        <v>18</v>
      </c>
      <c r="CY3" s="37" t="s">
        <v>1404</v>
      </c>
      <c r="CZ3" s="35">
        <v>1</v>
      </c>
      <c r="DF3" s="34"/>
      <c r="DH3" s="34"/>
      <c r="DI3" s="34"/>
      <c r="FQ3" t="s">
        <v>1269</v>
      </c>
      <c r="FR3" s="35" cm="1">
        <f t="array" ref="FR3">SUMPRODUCT((Y$2:Y$1000="PS")*ISNUMBER(SEARCH(LOWER(FQ3),LOWER(AA$2:AA$1000)))*ISNUMBER(SEARCH("prioritization",LOWER(Z$2:Z$1000))))</f>
        <v>42</v>
      </c>
      <c r="FV3">
        <v>2013</v>
      </c>
      <c r="FW3" s="35" cm="1">
        <f t="array" ref="FW3">SUMPRODUCT((Y$2:Y$1000="PS")*(F$2:F$1000=FV3)*ISNUMBER(SEARCH("prioritization",LOWER(Z$2:Z$1000)))*ISNUMBER(SEARCH("coverage",LOWER(AA$2:AA$1000))))</f>
        <v>2</v>
      </c>
      <c r="FX3" s="35" cm="1">
        <f t="array" ref="FX3">SUMPRODUCT((Y$2:Y$1000="PS")*(F$2:F$1000=FV3)*ISNUMBER(SEARCH("prioritization",LOWER(Z$2:Z$1000)))*ISNUMBER(SEARCH("requirement",LOWER(AA$2:AA$1000))))</f>
        <v>2</v>
      </c>
      <c r="FY3" s="35" cm="1">
        <f t="array" ref="FY3">SUMPRODUCT((Y$2:Y$1000="PS")*(F$2:F$1000=FV3)*ISNUMBER(SEARCH("prioritization",LOWER(Z$2:Z$1000)))*ISNUMBER(SEARCH("probab",LOWER(AA$2:AA$1000))))</f>
        <v>0</v>
      </c>
      <c r="FZ3" s="35" cm="1">
        <f t="array" ref="FZ3">SUMPRODUCT((Y$2:Y$1000="PS")*(F$2:F$1000=FV3)*ISNUMBER(SEARCH("prioritization",LOWER(Z$2:Z$1000)))*ISNUMBER(SEARCH("distribution",LOWER(AA$2:AA$1000))))</f>
        <v>1</v>
      </c>
      <c r="GA3" s="35" cm="1">
        <f t="array" ref="GA3">SUMPRODUCT((Y$2:Y$1000="PS")*(F$2:F$1000=FV3)*ISNUMBER(SEARCH("prioritization",LOWER(Z$2:Z$1000)))*ISNUMBER(SEARCH("clustering",LOWER(AA$2:AA$1000))))</f>
        <v>0</v>
      </c>
      <c r="GB3" s="35" cm="1">
        <f t="array" ref="GB3">SUMPRODUCT((Y$2:Y$1000="PS")*(F$2:F$1000=FV3)*ISNUMBER(SEARCH("prioritization",LOWER(Z$2:Z$1000)))*ISNUMBER(SEARCH("history",LOWER(AA$2:AA$1000))))</f>
        <v>0</v>
      </c>
      <c r="GC3" s="35" cm="1">
        <f t="array" ref="GC3">SUMPRODUCT((Y$2:Y$1000="PS")*(F$2:F$1000=FV3)*ISNUMBER(SEARCH("prioritization",LOWER(Z$2:Z$1000)))*ISNUMBER(SEARCH("model",LOWER(AA$2:AA$1000))))</f>
        <v>0</v>
      </c>
      <c r="GD3" s="35" cm="1">
        <f t="array" ref="GD3">SUMPRODUCT((Y$2:Y$1000="PS")*(F$2:F$1000=FV3)*ISNUMBER(SEARCH("prioritization",LOWER(Z$2:Z$1000)))*ISNUMBER(SEARCH("cost-aware",LOWER(AA$2:AA$1000))))</f>
        <v>0</v>
      </c>
      <c r="GE3" s="35" cm="1">
        <f t="array" ref="GE3">SUMPRODUCT((Y$2:Y$1000="PS")*(F$2:F$1000=FV3)*ISNUMBER(SEARCH("prioritization",LOWER(Z$2:Z$1000)))*ISNUMBER(SEARCH("similarity",LOWER(AA$2:AA$1000))))</f>
        <v>0</v>
      </c>
      <c r="GF3" s="35" cm="1">
        <f t="array" ref="GF3">SUMPRODUCT((Y$2:Y$1000="PS")*(F$2:F$1000=FV3)*ISNUMBER(SEARCH("prioritization",LOWER(Z$2:Z$1000)))*ISNUMBER(SEARCH("input",LOWER(AA$2:AA$1000))))</f>
        <v>0</v>
      </c>
      <c r="GG3" s="35" cm="1">
        <f t="array" ref="GG3">SUMPRODUCT((Y$2:Y$1000="PS")*(F$2:F$1000=FV3)*ISNUMBER(SEARCH("prioritization",LOWER(Z$2:Z$1000)))*ISNUMBER(SEARCH("structure",LOWER(AA$2:AA$1000))))</f>
        <v>0</v>
      </c>
      <c r="GH3" s="35" cm="1">
        <f t="array" ref="GH3">SUMPRODUCT((Y$2:Y$1000="PS")*(F$2:F$1000=FV3)*ISNUMBER(SEARCH("prioritization",LOWER(Z$2:Z$1000)))*ISNUMBER(SEARCH("change",LOWER(AA$2:AA$1000))))</f>
        <v>0</v>
      </c>
      <c r="GI3" s="35" cm="1">
        <f t="array" ref="GI3">SUMPRODUCT((Y$2:Y$1000="PS")*(F$2:F$1000=FV3)*ISNUMBER(SEARCH("prioritization",LOWER(Z$2:Z$1000)))*ISNUMBER(SEARCH("ml",LOWER(AA$2:AA$1000))))</f>
        <v>0</v>
      </c>
      <c r="GJ3" s="35" cm="1">
        <f t="array" ref="GJ3">SUMPRODUCT((Y$2:Y$1000="PS")*(F$2:F$1000=FV3)*ISNUMBER(SEARCH("prioritization",LOWER(Z$2:Z$1000)))*ISNUMBER(SEARCH("heuristic",LOWER(AA$2:AA$1000))))</f>
        <v>0</v>
      </c>
      <c r="GK3" s="35" cm="1">
        <f t="array" ref="GK3">SUMPRODUCT((Y$2:Y$1000="PS")*(F$2:F$1000=FV3)*ISNUMBER(SEARCH("prioritization",LOWER(Z$2:Z$1000)))*ISNUMBER(SEARCH("search",LOWER(AA$2:AA$1000))))</f>
        <v>0</v>
      </c>
      <c r="GL3" s="35" cm="1">
        <f t="array" ref="GL3">SUMPRODUCT((Y$2:Y$1000="PS")*(F$2:F$1000=FV3)*ISNUMBER(SEARCH("prioritization",LOWER(Z$2:Z$1000)))*ISNUMBER(SEARCH("transfer",LOWER(AA$2:AA$1000))))</f>
        <v>0</v>
      </c>
      <c r="GM3" s="35" cm="1">
        <f t="array" ref="GM3">SUMPRODUCT((Y$2:Y$1000="PS")*(F$2:F$1000=FV3)*ISNUMBER(SEARCH("prioritization",LOWER(Z$2:Z$1000)))*ISNUMBER(SEARCH("riski",LOWER(AA$2:AA$1000))))</f>
        <v>0</v>
      </c>
      <c r="GN3" s="35" cm="1">
        <f t="array" ref="GN3">SUMPRODUCT((Y$2:Y$1000="PS")*(F$2:F$1000=FV3)*ISNUMBER(SEARCH("prioritization",LOWER(Z$2:Z$1000)))*ISNUMBER(SEARCH("nlp",LOWER(AA$2:AA$1000))))</f>
        <v>0</v>
      </c>
      <c r="GO3" s="35" cm="1">
        <f t="array" ref="GO3">SUMPRODUCT((Y$2:Y$1000="PS")*(F$2:F$1000=FV3)*ISNUMBER(SEARCH("prioritization",LOWER(Z$2:Z$1000)))*ISNUMBER(SEARCH("design",LOWER(AA$2:AA$1000))))</f>
        <v>0</v>
      </c>
      <c r="GP3" s="35" cm="1">
        <f t="array" ref="GP3">SUMPRODUCT((Y$2:Y$1000="PS")*(F$2:F$1000=FV3)*NOT(ISERROR(SEARCH("prioritization",LOWER(Z$2:Z$1000))))*(NOT(ISERROR(SEARCH("coverage",LOWER(AA$2:AA$1000)))))*(NOT(ISERROR(SEARCH("requirement",LOWER(AA$2:AA$1000)))))*(NOT(ISERROR(SEARCH("probabilistic",LOWER(AA$2:AA$1000)))))*(NOT(ISERROR(SEARCH("distribution",LOWER(AA$2:AA$1000)))))*(NOT(ISERROR(SEARCH("clustering",LOWER(AA$2:AA$1000)))))*(NOT(ISERROR(SEARCH("history",LOWER(AA$2:AA$1000)))))*(NOT(ISERROR(SEARCH("model",LOWER(AA$2:AA$1000)))))*(NOT(ISERROR(SEARCH("cost-aware",LOWER(AA$2:AA$1000)))))*(NOT(ISERROR(SEARCH("similarity",LOWER(AA$2:AA$1000)))))*(NOT(ISERROR(SEARCH("input",LOWER(AA$2:AA$1000)))))*(NOT(ISERROR(SEARCH("structure",LOWER(AA$2:AA$1000)))))*(NOT(ISERROR(SEARCH("change",LOWER(AA$2:AA$1000)))))*(NOT(ISERROR(SEARCH("ml",LOWER(AA$2:AA$1000)))))*(NOT(ISERROR(SEARCH("heuristic",LOWER(AA$2:AA$1000)))))*(NOT(ISERROR(SEARCH("search",LOWER(AA$2:AA$1000)))))*(NOT(ISERROR(SEARCH("transfer",LOWER(AA$2:AA$1000)))))*(NOT(ISERROR(SEARCH("risk",LOWER(AA$2:AA$1000)))))*(NOT(ISERROR(SEARCH("nlp",LOWER(AA$2:AA$1000)))))*(NOT(ISERROR(SEARCH("design",LOWER(AA$2:AA$1000))))))</f>
        <v>0</v>
      </c>
      <c r="GQ3">
        <f>SUM(GI3,GL3,GN3)</f>
        <v>0</v>
      </c>
      <c r="GU3" t="s">
        <v>91</v>
      </c>
      <c r="GV3">
        <v>22</v>
      </c>
      <c r="GW3">
        <v>14</v>
      </c>
      <c r="GZ3">
        <v>2013</v>
      </c>
      <c r="HA3" cm="1">
        <f t="array" ref="HA3">SUMPRODUCT((Y$2:Y$1000="PS")*(F$2:F$1000=GZ3)*ISNUMBER(SEARCH("prioritization",LOWER(Z$2:Z$1000)))*ISNUMBER(SEARCH(LOWER("metaheuristic"),LOWER(AB$2:AB$1000))))</f>
        <v>0</v>
      </c>
      <c r="HB3" cm="1">
        <f t="array" ref="HB3">SUMPRODUCT((Y$2:Y$1000="PS")*(F$2:F$1000=GZ3)*ISNUMBER(SEARCH("prioritization",LOWER(Z$2:Z$1000)))*ISNUMBER(SEARCH(LOWER("search"),LOWER(AB$2:AB$1000))))</f>
        <v>0</v>
      </c>
      <c r="HC3" cm="1">
        <f t="array" ref="HC3">SUMPRODUCT((Y$2:Y$1000="PS")*(F$2:F$1000=GZ3)*ISNUMBER(SEARCH("prioritization",LOWER(Z$2:Z$1000)))*ISNUMBER(SEARCH(LOWER("heuristic"),LOWER(AB$2:AB$1000))))</f>
        <v>3</v>
      </c>
      <c r="HD3" cm="1">
        <f t="array" ref="HD3">SUMPRODUCT((Y$2:Y$1000="PS")*(F$2:F$1000=GZ3)*ISNUMBER(SEARCH("prioritization",LOWER(Z$2:Z$1000)))*ISNUMBER(SEARCH(LOWER("ml"),LOWER(AB$2:AB$1000))))</f>
        <v>1</v>
      </c>
      <c r="HE3" cm="1">
        <f t="array" ref="HE3">SUMPRODUCT((Y$2:Y$1000="PS")*(F$2:F$1000=GZ3)*ISNUMBER(SEARCH("prioritization",LOWER(Z$2:Z$1000)))*ISNUMBER(SEARCH(LOWER("rule"),LOWER(AB$2:AB$1000))))</f>
        <v>0</v>
      </c>
      <c r="HF3" cm="1">
        <f t="array" ref="HF3">SUMPRODUCT((Y$2:Y$1000="PS")*(F$2:F$1000=GZ3)*ISNUMBER(SEARCH("prioritization",LOWER(Z$2:Z$1000)))*ISNUMBER(SEARCH(LOWER(HF$2),LOWER(AB$2:AB$1000))))</f>
        <v>0</v>
      </c>
      <c r="HG3" cm="1">
        <f t="array" ref="HG3">SUMPRODUCT((Y$2:Y$1000="PS")*(F$2:F$1000=GZ3)*ISNUMBER(SEARCH("prioritization",LOWER(Z$2:Z$1000)))*ISNUMBER(SEARCH(LOWER("model"),LOWER(AB$2:AB$1000))))</f>
        <v>0</v>
      </c>
      <c r="HH3" cm="1">
        <f t="array" ref="HH3">SUMPRODUCT((Y$2:Y$1000="PS")*(F$2:F$1000=GZ3)*ISNUMBER(SEARCH("prioritization",LOWER(Z$2:Z$1000)))*ISNUMBER(SEARCH(LOWER(HH$2),LOWER(AB$2:AB$1000))))</f>
        <v>0</v>
      </c>
      <c r="HI3" cm="1">
        <f t="array" ref="HI3">SUMPRODUCT((Y$2:Y$1000="PS")*(F$2:F$1000=GZ3)*ISNUMBER(SEARCH("prioritization",LOWER(Z$2:Z$1000)))*ISNUMBER(SEARCH(LOWER("quantum"),LOWER(AB$2:AB$1000))))</f>
        <v>0</v>
      </c>
      <c r="HJ3" cm="1">
        <f t="array" ref="HJ3">SUMPRODUCT((Y$2:Y$1000="PS")*(F$2:F$1000=GZ3)*ISNUMBER(SEARCH("prioritization",LOWER(Z$2:Z$1000)))*ISNUMBER(SEARCH(LOWER("genetic"),LOWER(AB$2:AB$1000))))</f>
        <v>0</v>
      </c>
      <c r="HK3" cm="1">
        <f t="array" ref="HK3">SUMPRODUCT((Y$2:Y$1000="PS")*(F$2:F$1000=GZ3)*ISNUMBER(SEARCH("prioritization",LOWER(Z$2:Z$1000)))*ISNUMBER(SEARCH(LOWER("graph"),LOWER(AB$2:AB$1000))))</f>
        <v>0</v>
      </c>
      <c r="HL3" cm="1">
        <f t="array" ref="HL3">SUMPRODUCT((Y$2:Y$1000="PS")*(F$2:F$1000=GZ3)*ISNUMBER(SEARCH("prioritization",LOWER(Z$2:Z$1000)))*ISNUMBER(SEARCH(LOWER("greedy"),LOWER(AB$2:AB$1000))))</f>
        <v>0</v>
      </c>
      <c r="HM3" cm="1">
        <f t="array" ref="HM3">SUMPRODUCT((Y$2:Y$1000="PS")*(F$2:F$1000=GZ3)*ISNUMBER(SEARCH("prioritization",LOWER(Z$2:Z$1000)))*ISNUMBER(SEARCH(LOWER("dynamic"),LOWER(AB$2:AB$1000))))</f>
        <v>0</v>
      </c>
    </row>
    <row r="4" spans="1:221" ht="409.6">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5">IF(Y4="PS",1,0)</f>
        <v>0</v>
      </c>
      <c r="AL4">
        <f t="shared" si="0"/>
        <v>0</v>
      </c>
      <c r="AM4">
        <f t="shared" si="1"/>
        <v>0</v>
      </c>
      <c r="AN4">
        <f t="shared" si="2"/>
        <v>0</v>
      </c>
      <c r="AP4">
        <v>2014</v>
      </c>
      <c r="AQ4">
        <f>SUMIF(F:F,AP4,AK:AK)</f>
        <v>7</v>
      </c>
      <c r="AR4">
        <f t="shared" si="3"/>
        <v>0</v>
      </c>
      <c r="AS4">
        <f t="shared" ref="AS4:AS15" si="6">SUMIF(F:F,AP4,AM:AM)</f>
        <v>2</v>
      </c>
      <c r="AT4">
        <f t="shared" si="4"/>
        <v>6</v>
      </c>
      <c r="AY4" t="s">
        <v>142</v>
      </c>
      <c r="AZ4" cm="1">
        <f t="array" ref="AZ4">SUMPRODUCT(($Y$2:$Y$1000="PS")*(ISNUMBER(FIND(UPPER("prioritization"),UPPER($Z$2:$Z$1000))))*(ISNUMBER(FIND(UPPER("probability"),UPPER($AA$2:$AA$1000))))*((ISNUMBER(FIND(UPPER("heuristic"),UPPER($AB$2:$AB$1000))))*(NOT(ISNUMBER(FIND(UPPER("meta"),UPPER($AB$2:$AB$1000)))))))</f>
        <v>1</v>
      </c>
      <c r="BA4" cm="1">
        <f t="array" ref="BA4">SUMPRODUCT(($Y$2:$Y$1000="PS")*(ISNUMBER(FIND(UPPER("prioritization"),UPPER($Z$2:$Z$1000))))*(ISNUMBER(FIND(UPPER("probability"),UPPER($AA$2:$AA$1000))))*((ISNUMBER(FIND(UPPER("metaheuristic"),UPPER($AB$2:$AB$1000))))+(ISNUMBER(FIND(UPPER("meta-heuristic"),UPPER($AB$2:$AB$1000))))))</f>
        <v>0</v>
      </c>
      <c r="BB4" cm="1">
        <f t="array" ref="BB4">SUMPRODUCT(($Y$2:$Y$1000="PS")*(ISNUMBER(FIND(UPPER("prioritization"),UPPER($Z$2:$Z$1000))))*(ISNUMBER(FIND(UPPER("probability"),UPPER($AA$2:$AA$1000))))*(ISNUMBER(FIND(UPPER("graph"),UPPER($AB$2:$AB$1000)))))</f>
        <v>0</v>
      </c>
      <c r="BC4" cm="1">
        <f t="array" ref="BC4">SUMPRODUCT(($Y$2:$Y$1000="PS")*(ISNUMBER(FIND(UPPER("prioritization"),UPPER($Z$2:$Z$1000))))*(ISNUMBER(FIND(UPPER("probability"),UPPER($AA$2:$AA$1000))))*(ISNUMBER(FIND(UPPER("dynamic programming"),UPPER($AB$2:$AB$1000)))))</f>
        <v>0</v>
      </c>
      <c r="BD4" cm="1">
        <f t="array" ref="BD4">SUMPRODUCT(($Y$2:$Y$1000="PS")*(ISNUMBER(FIND(UPPER("prioritization"),UPPER($Z$2:$Z$1000))))*(ISNUMBER(FIND(UPPER("probability"),UPPER($AA$2:$AA$1000))))*(ISNUMBER(FIND(UPPER("ml-based"),UPPER($AB$2:$AB$1000)))))</f>
        <v>6</v>
      </c>
      <c r="BE4" cm="1">
        <f t="array" ref="BE4">SUMPRODUCT(($Y$2:$Y$1000="PS")*(ISNUMBER(FIND(UPPER("prioritization"),UPPER($Z$2:$Z$1000))))*(ISNUMBER(FIND(UPPER("probability"),UPPER($AA$2:$AA$1000))))*(ISNUMBER(FIND(UPPER("greedy"),UPPER($AB$2:$AB$1000)))))</f>
        <v>0</v>
      </c>
      <c r="BH4" t="s">
        <v>1328</v>
      </c>
      <c r="BI4" cm="1">
        <f t="array" ref="BI4">SUMPRODUCT(($Y$2:$Y$1000="PS")*(ISNUMBER(FIND(UPPER("selection"),UPPER($Z$2:$Z$1000))))*(ISNUMBER(FIND(UPPER("symbolic"),UPPER($AA$2:$AA$1000))))*((ISNUMBER(FIND(UPPER("heuristic"),UPPER($AB$2:$AB$1000))))*(NOT(ISNUMBER(FIND(UPPER("meta"),UPPER($AB$2:$AB$1000)))))))</f>
        <v>0</v>
      </c>
      <c r="BJ4" cm="1">
        <f t="array" ref="BJ4">SUMPRODUCT(($Y$2:$Y$1000="PS")*(ISNUMBER(FIND(UPPER("selection"),UPPER($Z$2:$Z$1000))))*(ISNUMBER(FIND(UPPER("symbolic"),UPPER($AA$2:$AA$1000))))*((ISNUMBER(FIND(UPPER("metaheuristic"),UPPER($AB$2:$AB$1000))))+(ISNUMBER(FIND(UPPER("meta-heuristic"),UPPER($AB$2:$AB$1000))))))</f>
        <v>0</v>
      </c>
      <c r="BK4" cm="1">
        <f t="array" ref="BK4">SUMPRODUCT(($Y$2:$Y$1000="PS")*(ISNUMBER(FIND(UPPER("selection"),UPPER($Z$2:$Z$1000))))*(ISNUMBER(FIND(UPPER("symbolic"),UPPER($AA$2:$AA$1000))))*(ISNUMBER(FIND(UPPER("graph"),UPPER($AB$2:$AB$1000)))))</f>
        <v>0</v>
      </c>
      <c r="BL4" cm="1">
        <f t="array" ref="BL4">SUMPRODUCT(($Y$2:$Y$1000="PS")*(ISNUMBER(FIND(UPPER("selection"),UPPER($Z$2:$Z$1000))))*(ISNUMBER(FIND(UPPER("symbolic"),UPPER($AA$2:$AA$1000))))*(ISNUMBER(FIND(UPPER("dynamic programming"),UPPER($AB$2:$AB$1000)))))</f>
        <v>0</v>
      </c>
      <c r="BM4" cm="1">
        <f t="array" ref="BM4">SUMPRODUCT(($Y$2:$Y$1000="PS")*(ISNUMBER(FIND(UPPER("selection"),UPPER($Z$2:$Z$1000))))*(ISNUMBER(FIND(UPPER("symbolic"),UPPER($AA$2:$AA$1000))))*(ISNUMBER(FIND(UPPER("ml-based"),UPPER($AB$2:$AB$1000)))))</f>
        <v>0</v>
      </c>
      <c r="BN4" cm="1">
        <f t="array" ref="BN4">SUMPRODUCT(($Y$2:$Y$1000="PS")*(ISNUMBER(FIND(UPPER("selection"),UPPER($Z$2:$Z$1000))))*(ISNUMBER(FIND(UPPER("symbolic"),UPPER($AA$2:$AA$1000))))*(ISNUMBER(FIND(UPPER("greedy"),UPPER($AB$2:$AB$1000)))))</f>
        <v>0</v>
      </c>
      <c r="BP4">
        <v>3</v>
      </c>
      <c r="BQ4">
        <v>4</v>
      </c>
      <c r="BR4">
        <v>2</v>
      </c>
      <c r="BS4">
        <v>8</v>
      </c>
      <c r="BT4">
        <v>3</v>
      </c>
      <c r="BX4" t="s">
        <v>142</v>
      </c>
      <c r="BY4">
        <v>8</v>
      </c>
      <c r="CB4">
        <v>1</v>
      </c>
      <c r="CC4">
        <v>3</v>
      </c>
      <c r="CE4">
        <v>1</v>
      </c>
      <c r="CG4" t="s">
        <v>1328</v>
      </c>
      <c r="CN4">
        <v>2014</v>
      </c>
      <c r="CO4" cm="1">
        <f t="array" ref="CO4">SUMPRODUCT((Y$2:Y$1000="PS")*(F$2:F$1000=$CN4)*(AH$2:AH$1000=0))</f>
        <v>4</v>
      </c>
      <c r="CP4" cm="1">
        <f t="array" ref="CP4">SUMPRODUCT((Y$2:Y$1000="PS")*(F$2:F$1000=$CN4)*(AH$2:AH$1000=0.5))</f>
        <v>3</v>
      </c>
      <c r="CQ4" cm="1">
        <f t="array" ref="CQ4">SUMPRODUCT((Y$2:Y$1000="PS")*(F$2:F$1000=$CN4)*(AH$2:AH$1000=1))</f>
        <v>0</v>
      </c>
      <c r="CS4" s="38"/>
      <c r="CT4" s="38"/>
      <c r="CV4" t="s">
        <v>1405</v>
      </c>
      <c r="CW4">
        <v>13</v>
      </c>
      <c r="CY4" s="37" t="s">
        <v>1405</v>
      </c>
      <c r="CZ4">
        <v>1</v>
      </c>
      <c r="DH4" s="34"/>
      <c r="DI4" s="34"/>
      <c r="DS4" s="34"/>
      <c r="FQ4" t="s">
        <v>1270</v>
      </c>
      <c r="FR4" s="35" cm="1">
        <f t="array" ref="FR4">SUMPRODUCT((Y$2:Y$1000="PS")*ISNUMBER(SEARCH(LOWER(FQ4),LOWER(AA$2:AA$1000)))*ISNUMBER(SEARCH("prioritization",LOWER(Z$2:Z$1000))))</f>
        <v>2</v>
      </c>
      <c r="FV4">
        <v>2014</v>
      </c>
      <c r="FW4" s="35" cm="1">
        <f t="array" ref="FW4">SUMPRODUCT((Y$2:Y$1000="PS")*(F$2:F$1000=FV4)*ISNUMBER(SEARCH("prioritization",LOWER(Z$2:Z$1000)))*ISNUMBER(SEARCH("coverage",LOWER(AA$2:AA$1000))))</f>
        <v>2</v>
      </c>
      <c r="FX4" s="35" cm="1">
        <f t="array" ref="FX4">SUMPRODUCT((Y$2:Y$1000="PS")*(F$2:F$1000=FV4)*ISNUMBER(SEARCH("prioritization",LOWER(Z$2:Z$1000)))*ISNUMBER(SEARCH("requirement",LOWER(AA$2:AA$1000))))</f>
        <v>1</v>
      </c>
      <c r="FY4" s="35" cm="1">
        <f t="array" ref="FY4">SUMPRODUCT((Y$2:Y$1000="PS")*(F$2:F$1000=FV4)*ISNUMBER(SEARCH("prioritization",LOWER(Z$2:Z$1000)))*ISNUMBER(SEARCH("probab",LOWER(AA$2:AA$1000))))</f>
        <v>2</v>
      </c>
      <c r="FZ4" s="35" cm="1">
        <f t="array" ref="FZ4">SUMPRODUCT((Y$2:Y$1000="PS")*(F$2:F$1000=FV4)*ISNUMBER(SEARCH("prioritization",LOWER(Z$2:Z$1000)))*ISNUMBER(SEARCH("distribution",LOWER(AA$2:AA$1000))))</f>
        <v>0</v>
      </c>
      <c r="GA4" s="35" cm="1">
        <f t="array" ref="GA4">SUMPRODUCT((Y$2:Y$1000="PS")*(F$2:F$1000=FV4)*ISNUMBER(SEARCH("prioritization",LOWER(Z$2:Z$1000)))*ISNUMBER(SEARCH("clustering",LOWER(AA$2:AA$1000))))</f>
        <v>0</v>
      </c>
      <c r="GB4" s="35" cm="1">
        <f t="array" ref="GB4">SUMPRODUCT((Y$2:Y$1000="PS")*(F$2:F$1000=FV4)*ISNUMBER(SEARCH("prioritization",LOWER(Z$2:Z$1000)))*ISNUMBER(SEARCH("history",LOWER(AA$2:AA$1000))))</f>
        <v>3</v>
      </c>
      <c r="GC4" s="35" cm="1">
        <f t="array" ref="GC4">SUMPRODUCT((Y$2:Y$1000="PS")*(F$2:F$1000=FV4)*ISNUMBER(SEARCH("prioritization",LOWER(Z$2:Z$1000)))*ISNUMBER(SEARCH("model",LOWER(AA$2:AA$1000))))</f>
        <v>0</v>
      </c>
      <c r="GD4" s="35" cm="1">
        <f t="array" ref="GD4">SUMPRODUCT((Y$2:Y$1000="PS")*(F$2:F$1000=FV4)*ISNUMBER(SEARCH("prioritization",LOWER(Z$2:Z$1000)))*ISNUMBER(SEARCH("cost-aware",LOWER(AA$2:AA$1000))))</f>
        <v>0</v>
      </c>
      <c r="GE4" s="35" cm="1">
        <f t="array" ref="GE4">SUMPRODUCT((Y$2:Y$1000="PS")*(F$2:F$1000=FV4)*ISNUMBER(SEARCH("prioritization",LOWER(Z$2:Z$1000)))*ISNUMBER(SEARCH("similarity",LOWER(AA$2:AA$1000))))</f>
        <v>0</v>
      </c>
      <c r="GF4" s="35" cm="1">
        <f t="array" ref="GF4">SUMPRODUCT((Y$2:Y$1000="PS")*(F$2:F$1000=FV4)*ISNUMBER(SEARCH("prioritization",LOWER(Z$2:Z$1000)))*ISNUMBER(SEARCH("input",LOWER(AA$2:AA$1000))))</f>
        <v>0</v>
      </c>
      <c r="GG4" s="35" cm="1">
        <f t="array" ref="GG4">SUMPRODUCT((Y$2:Y$1000="PS")*(F$2:F$1000=FV4)*ISNUMBER(SEARCH("prioritization",LOWER(Z$2:Z$1000)))*ISNUMBER(SEARCH("structure",LOWER(AA$2:AA$1000))))</f>
        <v>0</v>
      </c>
      <c r="GH4" s="35" cm="1">
        <f t="array" ref="GH4">SUMPRODUCT((Y$2:Y$1000="PS")*(F$2:F$1000=FV4)*ISNUMBER(SEARCH("prioritization",LOWER(Z$2:Z$1000)))*ISNUMBER(SEARCH("change",LOWER(AA$2:AA$1000))))</f>
        <v>0</v>
      </c>
      <c r="GI4" s="35" cm="1">
        <f t="array" ref="GI4">SUMPRODUCT((Y$2:Y$1000="PS")*(F$2:F$1000=FV4)*ISNUMBER(SEARCH("prioritization",LOWER(Z$2:Z$1000)))*ISNUMBER(SEARCH("ml",LOWER(AA$2:AA$1000))))</f>
        <v>0</v>
      </c>
      <c r="GJ4" s="35" cm="1">
        <f t="array" ref="GJ4">SUMPRODUCT((Y$2:Y$1000="PS")*(F$2:F$1000=FV4)*ISNUMBER(SEARCH("prioritization",LOWER(Z$2:Z$1000)))*ISNUMBER(SEARCH("heuristic",LOWER(AA$2:AA$1000))))</f>
        <v>0</v>
      </c>
      <c r="GK4" s="35" cm="1">
        <f t="array" ref="GK4">SUMPRODUCT((Y$2:Y$1000="PS")*(F$2:F$1000=FV4)*ISNUMBER(SEARCH("prioritization",LOWER(Z$2:Z$1000)))*ISNUMBER(SEARCH("search",LOWER(AA$2:AA$1000))))</f>
        <v>0</v>
      </c>
      <c r="GL4" s="35" cm="1">
        <f t="array" ref="GL4">SUMPRODUCT((Y$2:Y$1000="PS")*(F$2:F$1000=FV4)*ISNUMBER(SEARCH("prioritization",LOWER(Z$2:Z$1000)))*ISNUMBER(SEARCH("transfer",LOWER(AA$2:AA$1000))))</f>
        <v>0</v>
      </c>
      <c r="GM4" s="35" cm="1">
        <f t="array" ref="GM4">SUMPRODUCT((Y$2:Y$1000="PS")*(F$2:F$1000=FV4)*ISNUMBER(SEARCH("prioritization",LOWER(Z$2:Z$1000)))*ISNUMBER(SEARCH("riski",LOWER(AA$2:AA$1000))))</f>
        <v>0</v>
      </c>
      <c r="GN4" s="35" cm="1">
        <f t="array" ref="GN4">SUMPRODUCT((Y$2:Y$1000="PS")*(F$2:F$1000=FV4)*ISNUMBER(SEARCH("prioritization",LOWER(Z$2:Z$1000)))*ISNUMBER(SEARCH("nlp",LOWER(AA$2:AA$1000))))</f>
        <v>0</v>
      </c>
      <c r="GO4" s="35" cm="1">
        <f t="array" ref="GO4">SUMPRODUCT((Y$2:Y$1000="PS")*(F$2:F$1000=FV4)*ISNUMBER(SEARCH("prioritization",LOWER(Z$2:Z$1000)))*ISNUMBER(SEARCH("design",LOWER(AA$2:AA$1000))))</f>
        <v>0</v>
      </c>
      <c r="GP4" s="35" cm="1">
        <f t="array" ref="GP4">SUMPRODUCT((Y$2:Y$1000="PS")*(F$2:F$1000=FV4)*ISNUMBER(SEARCH("prioritization",LOWER(Z$2:Z$1000)))*ISNUMBER(SEARCH("other",LOWER(AA$2:AA$1000))))</f>
        <v>0</v>
      </c>
      <c r="GQ4">
        <f t="shared" ref="GQ4:GQ15" si="7">SUM(GI4,GL4,GN4)</f>
        <v>0</v>
      </c>
      <c r="GU4" t="s">
        <v>61</v>
      </c>
      <c r="GV4">
        <v>3</v>
      </c>
      <c r="GW4">
        <v>10</v>
      </c>
      <c r="GZ4">
        <v>2014</v>
      </c>
      <c r="HA4" cm="1">
        <f t="array" ref="HA4">SUMPRODUCT((Y$2:Y$1000="PS")*(F$2:F$1000=GZ4)*ISNUMBER(SEARCH("prioritization",LOWER(Z$2:Z$1000)))*ISNUMBER(SEARCH(LOWER("metaheuristic"),LOWER(AB$2:AB$1000))))</f>
        <v>0</v>
      </c>
      <c r="HB4" cm="1">
        <f t="array" ref="HB4">SUMPRODUCT((Y$2:Y$1000="PS")*(F$2:F$1000=GZ4)*ISNUMBER(SEARCH("prioritization",LOWER(Z$2:Z$1000)))*ISNUMBER(SEARCH(LOWER("search"),LOWER(AB$2:AB$1000))))</f>
        <v>0</v>
      </c>
      <c r="HC4" cm="1">
        <f t="array" ref="HC4">SUMPRODUCT((Y$2:Y$1000="PS")*(F$2:F$1000=GZ4)*ISNUMBER(SEARCH("prioritization",LOWER(Z$2:Z$1000)))*ISNUMBER(SEARCH(LOWER("heuristic"),LOWER(AB$2:AB$1000))))</f>
        <v>4</v>
      </c>
      <c r="HD4" cm="1">
        <f t="array" ref="HD4">SUMPRODUCT((Y$2:Y$1000="PS")*(F$2:F$1000=GZ4)*ISNUMBER(SEARCH("prioritization",LOWER(Z$2:Z$1000)))*ISNUMBER(SEARCH(LOWER("ml"),LOWER(AB$2:AB$1000))))</f>
        <v>1</v>
      </c>
      <c r="HE4" cm="1">
        <f t="array" ref="HE4">SUMPRODUCT((Y$2:Y$1000="PS")*(F$2:F$1000=GZ4)*ISNUMBER(SEARCH("prioritization",LOWER(Z$2:Z$1000)))*ISNUMBER(SEARCH(LOWER("rule"),LOWER(AB$2:AB$1000))))</f>
        <v>0</v>
      </c>
      <c r="HF4" cm="1">
        <f t="array" ref="HF4">SUMPRODUCT((Y$2:Y$1000="PS")*(F$2:F$1000=GZ4)*ISNUMBER(SEARCH("prioritization",LOWER(Z$2:Z$1000)))*ISNUMBER(SEARCH(LOWER(HF$2),LOWER(AB$2:AB$1000))))</f>
        <v>0</v>
      </c>
      <c r="HG4" cm="1">
        <f t="array" ref="HG4">SUMPRODUCT((Y$2:Y$1000="PS")*(F$2:F$1000=GZ4)*ISNUMBER(SEARCH("prioritization",LOWER(Z$2:Z$1000)))*ISNUMBER(SEARCH(LOWER("model"),LOWER(AB$2:AB$1000))))</f>
        <v>0</v>
      </c>
      <c r="HH4" cm="1">
        <f t="array" ref="HH4">SUMPRODUCT((Y$2:Y$1000="PS")*(F$2:F$1000=GZ4)*ISNUMBER(SEARCH("prioritization",LOWER(Z$2:Z$1000)))*ISNUMBER(SEARCH(LOWER(HH$2),LOWER(AB$2:AB$1000))))</f>
        <v>0</v>
      </c>
      <c r="HI4" cm="1">
        <f t="array" ref="HI4">SUMPRODUCT((Y$2:Y$1000="PS")*(F$2:F$1000=GZ4)*ISNUMBER(SEARCH("prioritization",LOWER(Z$2:Z$1000)))*ISNUMBER(SEARCH(LOWER("quantum"),LOWER(AB$2:AB$1000))))</f>
        <v>0</v>
      </c>
      <c r="HJ4" cm="1">
        <f t="array" ref="HJ4">SUMPRODUCT((Y$2:Y$1000="PS")*(F$2:F$1000=GZ4)*ISNUMBER(SEARCH("prioritization",LOWER(Z$2:Z$1000)))*ISNUMBER(SEARCH(LOWER("genetic"),LOWER(AB$2:AB$1000))))</f>
        <v>0</v>
      </c>
      <c r="HK4" cm="1">
        <f t="array" ref="HK4">SUMPRODUCT((Y$2:Y$1000="PS")*(F$2:F$1000=GZ4)*ISNUMBER(SEARCH("prioritization",LOWER(Z$2:Z$1000)))*ISNUMBER(SEARCH(LOWER("graph"),LOWER(AB$2:AB$1000))))</f>
        <v>0</v>
      </c>
      <c r="HL4" cm="1">
        <f t="array" ref="HL4">SUMPRODUCT((Y$2:Y$1000="PS")*(F$2:F$1000=GZ4)*ISNUMBER(SEARCH("prioritization",LOWER(Z$2:Z$1000)))*ISNUMBER(SEARCH(LOWER("greedy"),LOWER(AB$2:AB$1000))))</f>
        <v>0</v>
      </c>
      <c r="HM4" cm="1">
        <f t="array" ref="HM4">SUMPRODUCT((Y$2:Y$1000="PS")*(F$2:F$1000=GZ4)*ISNUMBER(SEARCH("prioritization",LOWER(Z$2:Z$1000)))*ISNUMBER(SEARCH(LOWER("dynamic"),LOWER(AB$2:AB$1000))))</f>
        <v>0</v>
      </c>
    </row>
    <row r="5" spans="1:221" ht="409.6">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5"/>
        <v>1</v>
      </c>
      <c r="AL5">
        <f t="shared" si="0"/>
        <v>0</v>
      </c>
      <c r="AM5">
        <f t="shared" si="1"/>
        <v>0</v>
      </c>
      <c r="AN5">
        <f t="shared" si="2"/>
        <v>1</v>
      </c>
      <c r="AP5">
        <v>2015</v>
      </c>
      <c r="AQ5">
        <f t="shared" ref="AQ5:AQ15" si="8">SUMIF(F:F,AP5,AK:AK)</f>
        <v>8</v>
      </c>
      <c r="AR5">
        <f t="shared" si="3"/>
        <v>0</v>
      </c>
      <c r="AS5">
        <f t="shared" si="6"/>
        <v>0</v>
      </c>
      <c r="AT5">
        <f t="shared" si="4"/>
        <v>8</v>
      </c>
      <c r="AY5" t="s">
        <v>1319</v>
      </c>
      <c r="AZ5" cm="1">
        <f t="array" ref="AZ5">SUMPRODUCT(($Y$2:$Y$1000="PS")*(ISNUMBER(FIND(UPPER("prioritization"),UPPER($Z$2:$Z$1000))))*(ISNUMBER(FIND(UPPER("distribution"),UPPER($AA$2:$AA$1000))))*((ISNUMBER(FIND(UPPER("heuristic"),UPPER($AB$2:$AB$1000))))*(NOT(ISNUMBER(FIND(UPPER("meta"),UPPER($AB$2:$AB$1000)))))))</f>
        <v>3</v>
      </c>
      <c r="BA5" cm="1">
        <f t="array" ref="BA5">SUMPRODUCT(($Y$2:$Y$1000="PS")*(ISNUMBER(FIND(UPPER("prioritization"),UPPER($Z$2:$Z$1000))))*(ISNUMBER(FIND(UPPER("distribution"),UPPER($AA$2:$AA$1000))))*((ISNUMBER(FIND(UPPER("metaheuristic"),UPPER($AB$2:$AB$1000))))+(ISNUMBER(FIND(UPPER("meta-heuristic"),UPPER($AB$2:$AB$1000))))))</f>
        <v>0</v>
      </c>
      <c r="BB5" cm="1">
        <f t="array" ref="BB5">SUMPRODUCT(($Y$2:$Y$1000="PS")*(ISNUMBER(FIND(UPPER("prioritization"),UPPER($Z$2:$Z$1000))))*(ISNUMBER(FIND(UPPER("distribution"),UPPER($AA$2:$AA$1000))))*(ISNUMBER(FIND(UPPER("graph"),UPPER($AB$2:$AB$1000)))))</f>
        <v>0</v>
      </c>
      <c r="BC5" cm="1">
        <f t="array" ref="BC5">SUMPRODUCT(($Y$2:$Y$1000="PS")*(ISNUMBER(FIND(UPPER("prioritization"),UPPER($Z$2:$Z$1000))))*(ISNUMBER(FIND(UPPER("distribution"),UPPER($AA$2:$AA$1000))))*(ISNUMBER(FIND(UPPER("dynamic programming"),UPPER($AB$2:$AB$1000)))))</f>
        <v>0</v>
      </c>
      <c r="BD5" cm="1">
        <f t="array" ref="BD5">SUMPRODUCT(($Y$2:$Y$1000="PS")*(ISNUMBER(FIND(UPPER("prioritization"),UPPER($Z$2:$Z$1000))))*(ISNUMBER(FIND(UPPER("distribution"),UPPER($AA$2:$AA$1000))))*(ISNUMBER(FIND(UPPER("ml-based"),UPPER($AB$2:$AB$1000)))))</f>
        <v>3</v>
      </c>
      <c r="BE5" cm="1">
        <f t="array" ref="BE5">SUMPRODUCT(($Y$2:$Y$1000="PS")*(ISNUMBER(FIND(UPPER("prioritization"),UPPER($Z$2:$Z$1000))))*(ISNUMBER(FIND(UPPER("distribution"),UPPER($AA$2:$AA$1000))))*(ISNUMBER(FIND(UPPER("greedy"),UPPER($AB$2:$AB$1000)))))</f>
        <v>0</v>
      </c>
      <c r="BH5" t="s">
        <v>1382</v>
      </c>
      <c r="BI5" cm="1">
        <f t="array" ref="BI5">SUMPRODUCT(($Y$2:$Y$1000="PS")*(ISNUMBER(FIND(UPPER("selection"),UPPER($Z$2:$Z$1000))))*(ISNUMBER(FIND(UPPER("dynamic"),UPPER($AA$2:$AA$1000))))*((ISNUMBER(FIND(UPPER("heuristic"),UPPER($AB$2:$AB$1000))))*(NOT(ISNUMBER(FIND(UPPER("meta"),UPPER($AB$2:$AB$1000)))))))</f>
        <v>0</v>
      </c>
      <c r="BJ5" cm="1">
        <f t="array" ref="BJ5">SUMPRODUCT(($Y$2:$Y$1000="PS")*(ISNUMBER(FIND(UPPER("selection"),UPPER($Z$2:$Z$1000))))*(ISNUMBER(FIND(UPPER("dynamic"),UPPER($AA$2:$AA$1000))))*((ISNUMBER(FIND(UPPER("metaheuristic"),UPPER($AB$2:$AB$1000))))+(ISNUMBER(FIND(UPPER("meta-heuristic"),UPPER($AB$2:$AB$1000))))))</f>
        <v>0</v>
      </c>
      <c r="BK5" cm="1">
        <f t="array" ref="BK5">SUMPRODUCT(($Y$2:$Y$1000="PS")*(ISNUMBER(FIND(UPPER("selection"),UPPER($Z$2:$Z$1000))))*(ISNUMBER(FIND(UPPER("dynamic"),UPPER($AA$2:$AA$1000))))*(ISNUMBER(FIND(UPPER("graph"),UPPER($AB$2:$AB$1000)))))</f>
        <v>0</v>
      </c>
      <c r="BL5" cm="1">
        <f t="array" ref="BL5">SUMPRODUCT(($Y$2:$Y$1000="PS")*(ISNUMBER(FIND(UPPER("selection"),UPPER($Z$2:$Z$1000))))*(ISNUMBER(FIND(UPPER("dynamic"),UPPER($AA$2:$AA$1000))))*(ISNUMBER(FIND(UPPER("dynamic programming"),UPPER($AB$2:$AB$1000)))))</f>
        <v>0</v>
      </c>
      <c r="BM5" cm="1">
        <f t="array" ref="BM5">SUMPRODUCT(($Y$2:$Y$1000="PS")*(ISNUMBER(FIND(UPPER("selection"),UPPER($Z$2:$Z$1000))))*(ISNUMBER(FIND(UPPER("dynamic"),UPPER($AA$2:$AA$1000))))*(ISNUMBER(FIND(UPPER("ml-based"),UPPER($AB$2:$AB$1000)))))</f>
        <v>0</v>
      </c>
      <c r="BN5" cm="1">
        <f t="array" ref="BN5">SUMPRODUCT(($Y$2:$Y$1000="PS")*(ISNUMBER(FIND(UPPER("selection"),UPPER($Z$2:$Z$1000))))*(ISNUMBER(FIND(UPPER("dynamic"),UPPER($AA$2:$AA$1000))))*(ISNUMBER(FIND(UPPER("greedy"),UPPER($AB$2:$AB$1000)))))</f>
        <v>0</v>
      </c>
      <c r="BX5" t="s">
        <v>1319</v>
      </c>
      <c r="BY5">
        <v>6</v>
      </c>
      <c r="CD5">
        <v>3</v>
      </c>
      <c r="CE5">
        <v>1</v>
      </c>
      <c r="CG5" t="s">
        <v>1382</v>
      </c>
      <c r="CN5">
        <v>2015</v>
      </c>
      <c r="CO5" cm="1">
        <f t="array" ref="CO5">SUMPRODUCT((Y$2:Y$1000="PS")*(F$2:F$1000=$CN5)*(AH$2:AH$1000=0))</f>
        <v>3</v>
      </c>
      <c r="CP5" cm="1">
        <f t="array" ref="CP5">SUMPRODUCT((Y$2:Y$1000="PS")*(F$2:F$1000=$CN5)*(AH$2:AH$1000=0.5))</f>
        <v>5</v>
      </c>
      <c r="CQ5" cm="1">
        <f t="array" ref="CQ5">SUMPRODUCT((Y$2:Y$1000="PS")*(F$2:F$1000=$CN5)*(AH$2:AH$1000=1))</f>
        <v>0</v>
      </c>
      <c r="CS5" s="38"/>
      <c r="CT5" s="38"/>
      <c r="CV5" t="s">
        <v>1406</v>
      </c>
      <c r="CW5">
        <v>8</v>
      </c>
      <c r="CY5" s="37" t="s">
        <v>1406</v>
      </c>
      <c r="CZ5" s="35">
        <v>4</v>
      </c>
      <c r="DF5" s="34"/>
      <c r="DH5" s="34"/>
      <c r="DI5" s="34"/>
      <c r="DT5" s="34"/>
      <c r="FQ5" t="s">
        <v>1271</v>
      </c>
      <c r="FR5" s="35" cm="1">
        <f t="array" ref="FR5">SUMPRODUCT((Y$2:Y$1000="PS")*ISNUMBER(SEARCH(LOWER(FQ5),LOWER(AA$2:AA$1000)))*ISNUMBER(SEARCH("prioritization",LOWER(Z$2:Z$1000))))</f>
        <v>0</v>
      </c>
      <c r="FV5">
        <v>2015</v>
      </c>
      <c r="FW5" s="35" cm="1">
        <f t="array" ref="FW5">SUMPRODUCT((Y$2:Y$1000="PS")*(F$2:F$1000=FV5)*ISNUMBER(SEARCH("prioritization",LOWER(Z$2:Z$1000)))*ISNUMBER(SEARCH("coverage",LOWER(AA$2:AA$1000))))</f>
        <v>2</v>
      </c>
      <c r="FX5" s="35" cm="1">
        <f t="array" ref="FX5">SUMPRODUCT((Y$2:Y$1000="PS")*(F$2:F$1000=FV5)*ISNUMBER(SEARCH("prioritization",LOWER(Z$2:Z$1000)))*ISNUMBER(SEARCH("requirement",LOWER(AA$2:AA$1000))))</f>
        <v>0</v>
      </c>
      <c r="FY5" s="35" cm="1">
        <f t="array" ref="FY5">SUMPRODUCT((Y$2:Y$1000="PS")*(F$2:F$1000=FV5)*ISNUMBER(SEARCH("prioritization",LOWER(Z$2:Z$1000)))*ISNUMBER(SEARCH("probab",LOWER(AA$2:AA$1000))))</f>
        <v>1</v>
      </c>
      <c r="FZ5" s="35" cm="1">
        <f t="array" ref="FZ5">SUMPRODUCT((Y$2:Y$1000="PS")*(F$2:F$1000=FV5)*ISNUMBER(SEARCH("prioritization",LOWER(Z$2:Z$1000)))*ISNUMBER(SEARCH("distribution",LOWER(AA$2:AA$1000))))</f>
        <v>2</v>
      </c>
      <c r="GA5" s="35" cm="1">
        <f t="array" ref="GA5">SUMPRODUCT((Y$2:Y$1000="PS")*(F$2:F$1000=FV5)*ISNUMBER(SEARCH("prioritization",LOWER(Z$2:Z$1000)))*ISNUMBER(SEARCH("clustering",LOWER(AA$2:AA$1000))))</f>
        <v>0</v>
      </c>
      <c r="GB5" s="35" cm="1">
        <f t="array" ref="GB5">SUMPRODUCT((Y$2:Y$1000="PS")*(F$2:F$1000=FV5)*ISNUMBER(SEARCH("prioritization",LOWER(Z$2:Z$1000)))*ISNUMBER(SEARCH("history",LOWER(AA$2:AA$1000))))</f>
        <v>2</v>
      </c>
      <c r="GC5" s="35" cm="1">
        <f t="array" ref="GC5">SUMPRODUCT((Y$2:Y$1000="PS")*(F$2:F$1000=FV5)*ISNUMBER(SEARCH("prioritization",LOWER(Z$2:Z$1000)))*ISNUMBER(SEARCH("model",LOWER(AA$2:AA$1000))))</f>
        <v>2</v>
      </c>
      <c r="GD5" s="35" cm="1">
        <f t="array" ref="GD5">SUMPRODUCT((Y$2:Y$1000="PS")*(F$2:F$1000=FV5)*ISNUMBER(SEARCH("prioritization",LOWER(Z$2:Z$1000)))*ISNUMBER(SEARCH("cost-aware",LOWER(AA$2:AA$1000))))</f>
        <v>0</v>
      </c>
      <c r="GE5" s="35" cm="1">
        <f t="array" ref="GE5">SUMPRODUCT((Y$2:Y$1000="PS")*(F$2:F$1000=FV5)*ISNUMBER(SEARCH("prioritization",LOWER(Z$2:Z$1000)))*ISNUMBER(SEARCH("similarity",LOWER(AA$2:AA$1000))))</f>
        <v>0</v>
      </c>
      <c r="GF5" s="35" cm="1">
        <f t="array" ref="GF5">SUMPRODUCT((Y$2:Y$1000="PS")*(F$2:F$1000=FV5)*ISNUMBER(SEARCH("prioritization",LOWER(Z$2:Z$1000)))*ISNUMBER(SEARCH("input",LOWER(AA$2:AA$1000))))</f>
        <v>0</v>
      </c>
      <c r="GG5" s="35" cm="1">
        <f t="array" ref="GG5">SUMPRODUCT((Y$2:Y$1000="PS")*(F$2:F$1000=FV5)*ISNUMBER(SEARCH("prioritization",LOWER(Z$2:Z$1000)))*ISNUMBER(SEARCH("structure",LOWER(AA$2:AA$1000))))</f>
        <v>0</v>
      </c>
      <c r="GH5" s="35" cm="1">
        <f t="array" ref="GH5">SUMPRODUCT((Y$2:Y$1000="PS")*(F$2:F$1000=FV5)*ISNUMBER(SEARCH("prioritization",LOWER(Z$2:Z$1000)))*ISNUMBER(SEARCH("change",LOWER(AA$2:AA$1000))))</f>
        <v>0</v>
      </c>
      <c r="GI5" s="35" cm="1">
        <f t="array" ref="GI5">SUMPRODUCT((Y$2:Y$1000="PS")*(F$2:F$1000=FV5)*ISNUMBER(SEARCH("prioritization",LOWER(Z$2:Z$1000)))*ISNUMBER(SEARCH("ml",LOWER(AA$2:AA$1000))))</f>
        <v>0</v>
      </c>
      <c r="GJ5" s="35" cm="1">
        <f t="array" ref="GJ5">SUMPRODUCT((Y$2:Y$1000="PS")*(F$2:F$1000=FV5)*ISNUMBER(SEARCH("prioritization",LOWER(Z$2:Z$1000)))*ISNUMBER(SEARCH("heuristic",LOWER(AA$2:AA$1000))))</f>
        <v>0</v>
      </c>
      <c r="GK5" s="35" cm="1">
        <f t="array" ref="GK5">SUMPRODUCT((Y$2:Y$1000="PS")*(F$2:F$1000=FV5)*ISNUMBER(SEARCH("prioritization",LOWER(Z$2:Z$1000)))*ISNUMBER(SEARCH("search",LOWER(AA$2:AA$1000))))</f>
        <v>0</v>
      </c>
      <c r="GL5" s="35" cm="1">
        <f t="array" ref="GL5">SUMPRODUCT((Y$2:Y$1000="PS")*(F$2:F$1000=FV5)*ISNUMBER(SEARCH("prioritization",LOWER(Z$2:Z$1000)))*ISNUMBER(SEARCH("transfer",LOWER(AA$2:AA$1000))))</f>
        <v>0</v>
      </c>
      <c r="GM5" s="35" cm="1">
        <f t="array" ref="GM5">SUMPRODUCT((Y$2:Y$1000="PS")*(F$2:F$1000=FV5)*ISNUMBER(SEARCH("prioritization",LOWER(Z$2:Z$1000)))*ISNUMBER(SEARCH("riski",LOWER(AA$2:AA$1000))))</f>
        <v>0</v>
      </c>
      <c r="GN5" s="35" cm="1">
        <f t="array" ref="GN5">SUMPRODUCT((Y$2:Y$1000="PS")*(F$2:F$1000=FV5)*ISNUMBER(SEARCH("prioritization",LOWER(Z$2:Z$1000)))*ISNUMBER(SEARCH("nlp",LOWER(AA$2:AA$1000))))</f>
        <v>0</v>
      </c>
      <c r="GO5" s="35" cm="1">
        <f t="array" ref="GO5">SUMPRODUCT((Y$2:Y$1000="PS")*(F$2:F$1000=FV5)*ISNUMBER(SEARCH("prioritization",LOWER(Z$2:Z$1000)))*ISNUMBER(SEARCH("design",LOWER(AA$2:AA$1000))))</f>
        <v>0</v>
      </c>
      <c r="GP5" s="35" cm="1">
        <f t="array" ref="GP5">SUMPRODUCT((Y$2:Y$1000="PS")*(F$2:F$1000=FV5)*ISNUMBER(SEARCH("prioritization",LOWER(Z$2:Z$1000)))*ISNUMBER(SEARCH("other",LOWER(AA$2:AA$1000))))</f>
        <v>0</v>
      </c>
      <c r="GQ5">
        <f t="shared" si="7"/>
        <v>0</v>
      </c>
      <c r="GU5" t="s">
        <v>207</v>
      </c>
      <c r="GV5">
        <v>4</v>
      </c>
      <c r="GW5">
        <v>8</v>
      </c>
      <c r="GZ5">
        <v>2015</v>
      </c>
      <c r="HA5" cm="1">
        <f t="array" ref="HA5">SUMPRODUCT((Y$2:Y$1000="PS")*(F$2:F$1000=GZ5)*ISNUMBER(SEARCH("prioritization",LOWER(Z$2:Z$1000)))*ISNUMBER(SEARCH(LOWER("metaheuristic"),LOWER(AB$2:AB$1000))))</f>
        <v>0</v>
      </c>
      <c r="HB5" cm="1">
        <f t="array" ref="HB5">SUMPRODUCT((Y$2:Y$1000="PS")*(F$2:F$1000=GZ5)*ISNUMBER(SEARCH("prioritization",LOWER(Z$2:Z$1000)))*ISNUMBER(SEARCH(LOWER("search"),LOWER(AB$2:AB$1000))))</f>
        <v>0</v>
      </c>
      <c r="HC5" cm="1">
        <f t="array" ref="HC5">SUMPRODUCT((Y$2:Y$1000="PS")*(F$2:F$1000=GZ5)*ISNUMBER(SEARCH("prioritization",LOWER(Z$2:Z$1000)))*ISNUMBER(SEARCH(LOWER("heuristic"),LOWER(AB$2:AB$1000))))</f>
        <v>6</v>
      </c>
      <c r="HD5" cm="1">
        <f t="array" ref="HD5">SUMPRODUCT((Y$2:Y$1000="PS")*(F$2:F$1000=GZ5)*ISNUMBER(SEARCH("prioritization",LOWER(Z$2:Z$1000)))*ISNUMBER(SEARCH(LOWER("ml"),LOWER(AB$2:AB$1000))))</f>
        <v>2</v>
      </c>
      <c r="HE5" cm="1">
        <f t="array" ref="HE5">SUMPRODUCT((Y$2:Y$1000="PS")*(F$2:F$1000=GZ5)*ISNUMBER(SEARCH("prioritization",LOWER(Z$2:Z$1000)))*ISNUMBER(SEARCH(LOWER("rule"),LOWER(AB$2:AB$1000))))</f>
        <v>0</v>
      </c>
      <c r="HF5" cm="1">
        <f t="array" ref="HF5">SUMPRODUCT((Y$2:Y$1000="PS")*(F$2:F$1000=GZ5)*ISNUMBER(SEARCH("prioritization",LOWER(Z$2:Z$1000)))*ISNUMBER(SEARCH(LOWER(HF$2),LOWER(AB$2:AB$1000))))</f>
        <v>0</v>
      </c>
      <c r="HG5" cm="1">
        <f t="array" ref="HG5">SUMPRODUCT((Y$2:Y$1000="PS")*(F$2:F$1000=GZ5)*ISNUMBER(SEARCH("prioritization",LOWER(Z$2:Z$1000)))*ISNUMBER(SEARCH(LOWER("model"),LOWER(AB$2:AB$1000))))</f>
        <v>0</v>
      </c>
      <c r="HH5" cm="1">
        <f t="array" ref="HH5">SUMPRODUCT((Y$2:Y$1000="PS")*(F$2:F$1000=GZ5)*ISNUMBER(SEARCH("prioritization",LOWER(Z$2:Z$1000)))*ISNUMBER(SEARCH(LOWER(HH$2),LOWER(AB$2:AB$1000))))</f>
        <v>0</v>
      </c>
      <c r="HI5" cm="1">
        <f t="array" ref="HI5">SUMPRODUCT((Y$2:Y$1000="PS")*(F$2:F$1000=GZ5)*ISNUMBER(SEARCH("prioritization",LOWER(Z$2:Z$1000)))*ISNUMBER(SEARCH(LOWER("quantum"),LOWER(AB$2:AB$1000))))</f>
        <v>0</v>
      </c>
      <c r="HJ5" cm="1">
        <f t="array" ref="HJ5">SUMPRODUCT((Y$2:Y$1000="PS")*(F$2:F$1000=GZ5)*ISNUMBER(SEARCH("prioritization",LOWER(Z$2:Z$1000)))*ISNUMBER(SEARCH(LOWER("genetic"),LOWER(AB$2:AB$1000))))</f>
        <v>0</v>
      </c>
      <c r="HK5" cm="1">
        <f t="array" ref="HK5">SUMPRODUCT((Y$2:Y$1000="PS")*(F$2:F$1000=GZ5)*ISNUMBER(SEARCH("prioritization",LOWER(Z$2:Z$1000)))*ISNUMBER(SEARCH(LOWER("graph"),LOWER(AB$2:AB$1000))))</f>
        <v>0</v>
      </c>
      <c r="HL5" cm="1">
        <f t="array" ref="HL5">SUMPRODUCT((Y$2:Y$1000="PS")*(F$2:F$1000=GZ5)*ISNUMBER(SEARCH("prioritization",LOWER(Z$2:Z$1000)))*ISNUMBER(SEARCH(LOWER("greedy"),LOWER(AB$2:AB$1000))))</f>
        <v>1</v>
      </c>
      <c r="HM5" cm="1">
        <f t="array" ref="HM5">SUMPRODUCT((Y$2:Y$1000="PS")*(F$2:F$1000=GZ5)*ISNUMBER(SEARCH("prioritization",LOWER(Z$2:Z$1000)))*ISNUMBER(SEARCH(LOWER("dynamic"),LOWER(AB$2:AB$1000))))</f>
        <v>0</v>
      </c>
    </row>
    <row r="6" spans="1:221" ht="409.6">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1263</v>
      </c>
      <c r="AB6" s="2" t="s">
        <v>91</v>
      </c>
      <c r="AC6" s="2" t="s">
        <v>105</v>
      </c>
      <c r="AD6" s="2" t="s">
        <v>92</v>
      </c>
      <c r="AE6" s="2" t="s">
        <v>92</v>
      </c>
      <c r="AF6" s="2"/>
      <c r="AG6" s="2" t="s">
        <v>106</v>
      </c>
      <c r="AH6" s="2">
        <v>0</v>
      </c>
      <c r="AK6">
        <f t="shared" si="5"/>
        <v>1</v>
      </c>
      <c r="AL6">
        <f t="shared" si="0"/>
        <v>0</v>
      </c>
      <c r="AM6">
        <f t="shared" si="1"/>
        <v>0</v>
      </c>
      <c r="AN6">
        <f t="shared" si="2"/>
        <v>1</v>
      </c>
      <c r="AP6">
        <v>2016</v>
      </c>
      <c r="AQ6">
        <f t="shared" si="8"/>
        <v>9</v>
      </c>
      <c r="AR6">
        <f t="shared" si="3"/>
        <v>0</v>
      </c>
      <c r="AS6">
        <f t="shared" si="6"/>
        <v>2</v>
      </c>
      <c r="AT6">
        <f t="shared" si="4"/>
        <v>7</v>
      </c>
      <c r="AY6" t="s">
        <v>1380</v>
      </c>
      <c r="AZ6" cm="1">
        <f t="array" ref="AZ6">SUMPRODUCT(($Y$2:$Y$1000="PS")*(ISNUMBER(FIND(UPPER("prioritization"),UPPER($Z$2:$Z$1000))))*(ISNUMBER(FIND(UPPER("human"),UPPER($AA$2:$AA$1000))))*((ISNUMBER(FIND(UPPER("heuristic"),UPPER($AB$2:$AB$1000))))*(NOT(ISNUMBER(FIND(UPPER("meta"),UPPER($AB$2:$AB$1000)))))))</f>
        <v>0</v>
      </c>
      <c r="BA6" cm="1">
        <f t="array" ref="BA6">SUMPRODUCT(($Y$2:$Y$1000="PS")*(ISNUMBER(FIND(UPPER("prioritization"),UPPER($Z$2:$Z$1000))))*(ISNUMBER(FIND(UPPER("human"),UPPER($AA$2:$AA$1000))))*((ISNUMBER(FIND(UPPER("metaheuristic"),UPPER($AB$2:$AB$1000))))+(ISNUMBER(FIND(UPPER("meta-heuristic"),UPPER($AB$2:$AB$1000))))))</f>
        <v>0</v>
      </c>
      <c r="BB6" cm="1">
        <f t="array" ref="BB6">SUMPRODUCT(($Y$2:$Y$1000="PS")*(ISNUMBER(FIND(UPPER("prioritization"),UPPER($Z$2:$Z$1000))))*(ISNUMBER(FIND(UPPER("human"),UPPER($AA$2:$AA$1000))))*(ISNUMBER(FIND(UPPER("graph"),UPPER($AB$2:$AB$1000)))))</f>
        <v>0</v>
      </c>
      <c r="BC6" cm="1">
        <f t="array" ref="BC6">SUMPRODUCT(($Y$2:$Y$1000="PS")*(ISNUMBER(FIND(UPPER("prioritization"),UPPER($Z$2:$Z$1000))))*(ISNUMBER(FIND(UPPER("human"),UPPER($AA$2:$AA$1000))))*(ISNUMBER(FIND(UPPER("dynamic programming"),UPPER($AB$2:$AB$1000)))))</f>
        <v>0</v>
      </c>
      <c r="BD6" cm="1">
        <f t="array" ref="BD6">SUMPRODUCT(($Y$2:$Y$1000="PS")*(ISNUMBER(FIND(UPPER("prioritization"),UPPER($Z$2:$Z$1000))))*(ISNUMBER(FIND(UPPER("human"),UPPER($AA$2:$AA$1000))))*(ISNUMBER(FIND(UPPER("ml-based"),UPPER($AB$2:$AB$1000)))))</f>
        <v>2</v>
      </c>
      <c r="BE6" cm="1">
        <f t="array" ref="BE6">SUMPRODUCT(($Y$2:$Y$1000="PS")*(ISNUMBER(FIND(UPPER("prioritization"),UPPER($Z$2:$Z$1000))))*(ISNUMBER(FIND(UPPER("human"),UPPER($AA$2:$AA$1000))))*(ISNUMBER(FIND(UPPER("greedy"),UPPER($AB$2:$AB$1000)))))</f>
        <v>0</v>
      </c>
      <c r="BH6" t="s">
        <v>868</v>
      </c>
      <c r="BI6" cm="1">
        <f t="array" ref="BI6">SUMPRODUCT(($Y$2:$Y$1000="PS")*(ISNUMBER(FIND(UPPER("selection"),UPPER($Z$2:$Z$1000))))*(ISNUMBER(FIND(UPPER("graph-walk"),UPPER($AA$2:$AA$1000))))*((ISNUMBER(FIND(UPPER("heuristic"),UPPER($AB$2:$AB$1000))))*(NOT(ISNUMBER(FIND(UPPER("meta"),UPPER($AB$2:$AB$1000)))))))</f>
        <v>0</v>
      </c>
      <c r="BJ6" cm="1">
        <f t="array" ref="BJ6">SUMPRODUCT(($Y$2:$Y$1000="PS")*(ISNUMBER(FIND(UPPER("selection"),UPPER($Z$2:$Z$1000))))*(ISNUMBER(FIND(UPPER("graph-walk"),UPPER($AA$2:$AA$1000))))*((ISNUMBER(FIND(UPPER("metaheuristic"),UPPER($AB$2:$AB$1000))))+(ISNUMBER(FIND(UPPER("meta-heuristic"),UPPER($AB$2:$AB$1000))))))</f>
        <v>1</v>
      </c>
      <c r="BK6" cm="1">
        <f t="array" ref="BK6">SUMPRODUCT(($Y$2:$Y$1000="PS")*(ISNUMBER(FIND(UPPER("selection"),UPPER($Z$2:$Z$1000))))*(ISNUMBER(FIND(UPPER("graph-walk"),UPPER($AA$2:$AA$1000))))*(ISNUMBER(FIND(UPPER("graph"),UPPER($AB$2:$AB$1000)))))</f>
        <v>2</v>
      </c>
      <c r="BL6" cm="1">
        <f t="array" ref="BL6">SUMPRODUCT(($Y$2:$Y$1000="PS")*(ISNUMBER(FIND(UPPER("selection"),UPPER($Z$2:$Z$1000))))*(ISNUMBER(FIND(UPPER("graph-walk"),UPPER($AA$2:$AA$1000))))*(ISNUMBER(FIND(UPPER("dynamic programming"),UPPER($AB$2:$AB$1000)))))</f>
        <v>0</v>
      </c>
      <c r="BM6" cm="1">
        <f t="array" ref="BM6">SUMPRODUCT(($Y$2:$Y$1000="PS")*(ISNUMBER(FIND(UPPER("selection"),UPPER($Z$2:$Z$1000))))*(ISNUMBER(FIND(UPPER("graph-walk"),UPPER($AA$2:$AA$1000))))*(ISNUMBER(FIND(UPPER("ml-based"),UPPER($AB$2:$AB$1000)))))</f>
        <v>0</v>
      </c>
      <c r="BN6" cm="1">
        <f t="array" ref="BN6">SUMPRODUCT(($Y$2:$Y$1000="PS")*(ISNUMBER(FIND(UPPER("selection"),UPPER($Z$2:$Z$1000))))*(ISNUMBER(FIND(UPPER("graph-walk"),UPPER($AA$2:$AA$1000))))*(ISNUMBER(FIND(UPPER("greedy"),UPPER($AB$2:$AB$1000)))))</f>
        <v>0</v>
      </c>
      <c r="BX6" t="s">
        <v>1380</v>
      </c>
      <c r="BY6">
        <v>2</v>
      </c>
      <c r="CD6">
        <v>1</v>
      </c>
      <c r="CE6">
        <v>1</v>
      </c>
      <c r="CG6" t="s">
        <v>868</v>
      </c>
      <c r="CH6">
        <v>2</v>
      </c>
      <c r="CI6">
        <v>2</v>
      </c>
      <c r="CJ6">
        <v>2</v>
      </c>
      <c r="CK6">
        <v>3</v>
      </c>
      <c r="CN6">
        <v>2016</v>
      </c>
      <c r="CO6" cm="1">
        <f t="array" ref="CO6">SUMPRODUCT((Y$2:Y$1000="PS")*(F$2:F$1000=$CN6)*(AH$2:AH$1000=0))</f>
        <v>4</v>
      </c>
      <c r="CP6" cm="1">
        <f t="array" ref="CP6">SUMPRODUCT((Y$2:Y$1000="PS")*(F$2:F$1000=$CN6)*(AH$2:AH$1000=0.5))</f>
        <v>4</v>
      </c>
      <c r="CQ6" cm="1">
        <f t="array" ref="CQ6">SUMPRODUCT((Y$2:Y$1000="PS")*(F$2:F$1000=$CN6)*(AH$2:AH$1000=1))</f>
        <v>1</v>
      </c>
      <c r="CS6" s="38"/>
      <c r="CT6" s="38"/>
      <c r="CV6" t="s">
        <v>1407</v>
      </c>
      <c r="CW6">
        <v>47</v>
      </c>
      <c r="CY6" s="37" t="s">
        <v>1407</v>
      </c>
      <c r="CZ6" s="35">
        <v>8</v>
      </c>
      <c r="DF6" s="34"/>
      <c r="DH6" s="34"/>
      <c r="DI6" s="34"/>
      <c r="FQ6" t="s">
        <v>1272</v>
      </c>
      <c r="FR6" s="35" cm="1">
        <f t="array" ref="FR6">SUMPRODUCT((Y$2:Y$1000="PS")*ISNUMBER(SEARCH(LOWER(FQ6),LOWER(AA$2:AA$1000)))*ISNUMBER(SEARCH("prioritization",LOWER(Z$2:Z$1000))))</f>
        <v>6</v>
      </c>
      <c r="FV6">
        <v>2016</v>
      </c>
      <c r="FW6" s="35" cm="1">
        <f t="array" ref="FW6">SUMPRODUCT((Y$2:Y$1000="PS")*(F$2:F$1000=FV6)*ISNUMBER(SEARCH("prioritization",LOWER(Z$2:Z$1000)))*ISNUMBER(SEARCH("coverage",LOWER(AA$2:AA$1000))))</f>
        <v>3</v>
      </c>
      <c r="FX6" s="35" cm="1">
        <f t="array" ref="FX6">SUMPRODUCT((Y$2:Y$1000="PS")*(F$2:F$1000=FV6)*ISNUMBER(SEARCH("prioritization",LOWER(Z$2:Z$1000)))*ISNUMBER(SEARCH("requirement",LOWER(AA$2:AA$1000))))</f>
        <v>1</v>
      </c>
      <c r="FY6" s="35" cm="1">
        <f t="array" ref="FY6">SUMPRODUCT((Y$2:Y$1000="PS")*(F$2:F$1000=FV6)*ISNUMBER(SEARCH("prioritization",LOWER(Z$2:Z$1000)))*ISNUMBER(SEARCH("probab",LOWER(AA$2:AA$1000))))</f>
        <v>0</v>
      </c>
      <c r="FZ6" s="35" cm="1">
        <f t="array" ref="FZ6">SUMPRODUCT((Y$2:Y$1000="PS")*(F$2:F$1000=FV6)*ISNUMBER(SEARCH("prioritization",LOWER(Z$2:Z$1000)))*ISNUMBER(SEARCH("distribution",LOWER(AA$2:AA$1000))))</f>
        <v>1</v>
      </c>
      <c r="GA6" s="35" cm="1">
        <f t="array" ref="GA6">SUMPRODUCT((Y$2:Y$1000="PS")*(F$2:F$1000=FV6)*ISNUMBER(SEARCH("prioritization",LOWER(Z$2:Z$1000)))*ISNUMBER(SEARCH("clustering",LOWER(AA$2:AA$1000))))</f>
        <v>0</v>
      </c>
      <c r="GB6" s="35" cm="1">
        <f t="array" ref="GB6">SUMPRODUCT((Y$2:Y$1000="PS")*(F$2:F$1000=FV6)*ISNUMBER(SEARCH("prioritization",LOWER(Z$2:Z$1000)))*ISNUMBER(SEARCH("history",LOWER(AA$2:AA$1000))))</f>
        <v>1</v>
      </c>
      <c r="GC6" s="35" cm="1">
        <f t="array" ref="GC6">SUMPRODUCT((Y$2:Y$1000="PS")*(F$2:F$1000=FV6)*ISNUMBER(SEARCH("prioritization",LOWER(Z$2:Z$1000)))*ISNUMBER(SEARCH("model",LOWER(AA$2:AA$1000))))</f>
        <v>0</v>
      </c>
      <c r="GD6" s="35" cm="1">
        <f t="array" ref="GD6">SUMPRODUCT((Y$2:Y$1000="PS")*(F$2:F$1000=FV6)*ISNUMBER(SEARCH("prioritization",LOWER(Z$2:Z$1000)))*ISNUMBER(SEARCH("cost-aware",LOWER(AA$2:AA$1000))))</f>
        <v>0</v>
      </c>
      <c r="GE6" s="35" cm="1">
        <f t="array" ref="GE6">SUMPRODUCT((Y$2:Y$1000="PS")*(F$2:F$1000=FV6)*ISNUMBER(SEARCH("prioritization",LOWER(Z$2:Z$1000)))*ISNUMBER(SEARCH("similarity",LOWER(AA$2:AA$1000))))</f>
        <v>0</v>
      </c>
      <c r="GF6" s="35" cm="1">
        <f t="array" ref="GF6">SUMPRODUCT((Y$2:Y$1000="PS")*(F$2:F$1000=FV6)*ISNUMBER(SEARCH("prioritization",LOWER(Z$2:Z$1000)))*ISNUMBER(SEARCH("input",LOWER(AA$2:AA$1000))))</f>
        <v>0</v>
      </c>
      <c r="GG6" s="35" cm="1">
        <f t="array" ref="GG6">SUMPRODUCT((Y$2:Y$1000="PS")*(F$2:F$1000=FV6)*ISNUMBER(SEARCH("prioritization",LOWER(Z$2:Z$1000)))*ISNUMBER(SEARCH("structure",LOWER(AA$2:AA$1000))))</f>
        <v>0</v>
      </c>
      <c r="GH6" s="35" cm="1">
        <f t="array" ref="GH6">SUMPRODUCT((Y$2:Y$1000="PS")*(F$2:F$1000=FV6)*ISNUMBER(SEARCH("prioritization",LOWER(Z$2:Z$1000)))*ISNUMBER(SEARCH("change",LOWER(AA$2:AA$1000))))</f>
        <v>0</v>
      </c>
      <c r="GI6" s="35" cm="1">
        <f t="array" ref="GI6">SUMPRODUCT((Y$2:Y$1000="PS")*(F$2:F$1000=FV6)*ISNUMBER(SEARCH("prioritization",LOWER(Z$2:Z$1000)))*ISNUMBER(SEARCH("ml",LOWER(AA$2:AA$1000))))</f>
        <v>0</v>
      </c>
      <c r="GJ6" s="35" cm="1">
        <f t="array" ref="GJ6">SUMPRODUCT((Y$2:Y$1000="PS")*(F$2:F$1000=FV6)*ISNUMBER(SEARCH("prioritization",LOWER(Z$2:Z$1000)))*ISNUMBER(SEARCH("heuristic",LOWER(AA$2:AA$1000))))</f>
        <v>0</v>
      </c>
      <c r="GK6" s="35" cm="1">
        <f t="array" ref="GK6">SUMPRODUCT((Y$2:Y$1000="PS")*(F$2:F$1000=FV6)*ISNUMBER(SEARCH("prioritization",LOWER(Z$2:Z$1000)))*ISNUMBER(SEARCH("search",LOWER(AA$2:AA$1000))))</f>
        <v>0</v>
      </c>
      <c r="GL6" s="35" cm="1">
        <f t="array" ref="GL6">SUMPRODUCT((Y$2:Y$1000="PS")*(F$2:F$1000=FV6)*ISNUMBER(SEARCH("prioritization",LOWER(Z$2:Z$1000)))*ISNUMBER(SEARCH("transfer",LOWER(AA$2:AA$1000))))</f>
        <v>0</v>
      </c>
      <c r="GM6" s="35" cm="1">
        <f t="array" ref="GM6">SUMPRODUCT((Y$2:Y$1000="PS")*(F$2:F$1000=FV6)*ISNUMBER(SEARCH("prioritization",LOWER(Z$2:Z$1000)))*ISNUMBER(SEARCH("riski",LOWER(AA$2:AA$1000))))</f>
        <v>0</v>
      </c>
      <c r="GN6" s="35" cm="1">
        <f t="array" ref="GN6">SUMPRODUCT((Y$2:Y$1000="PS")*(F$2:F$1000=FV6)*ISNUMBER(SEARCH("prioritization",LOWER(Z$2:Z$1000)))*ISNUMBER(SEARCH("nlp",LOWER(AA$2:AA$1000))))</f>
        <v>0</v>
      </c>
      <c r="GO6" s="35" cm="1">
        <f t="array" ref="GO6">SUMPRODUCT((Y$2:Y$1000="PS")*(F$2:F$1000=FV6)*ISNUMBER(SEARCH("prioritization",LOWER(Z$2:Z$1000)))*ISNUMBER(SEARCH("design",LOWER(AA$2:AA$1000))))</f>
        <v>0</v>
      </c>
      <c r="GP6" s="35" cm="1">
        <f t="array" ref="GP6">SUMPRODUCT((Y$2:Y$1000="PS")*(F$2:F$1000=FV6)*ISNUMBER(SEARCH("prioritization",LOWER(Z$2:Z$1000)))*ISNUMBER(SEARCH("other",LOWER(AA$2:AA$1000))))</f>
        <v>0</v>
      </c>
      <c r="GQ6">
        <f t="shared" si="7"/>
        <v>0</v>
      </c>
      <c r="GZ6">
        <v>2016</v>
      </c>
      <c r="HA6" cm="1">
        <f t="array" ref="HA6">SUMPRODUCT((Y$2:Y$1000="PS")*(F$2:F$1000=GZ6)*ISNUMBER(SEARCH("prioritization",LOWER(Z$2:Z$1000)))*ISNUMBER(SEARCH(LOWER("metaheuristic"),LOWER(AB$2:AB$1000))))</f>
        <v>0</v>
      </c>
      <c r="HB6" cm="1">
        <f t="array" ref="HB6">SUMPRODUCT((Y$2:Y$1000="PS")*(F$2:F$1000=GZ6)*ISNUMBER(SEARCH("prioritization",LOWER(Z$2:Z$1000)))*ISNUMBER(SEARCH(LOWER("search"),LOWER(AB$2:AB$1000))))</f>
        <v>0</v>
      </c>
      <c r="HC6" cm="1">
        <f t="array" ref="HC6">SUMPRODUCT((Y$2:Y$1000="PS")*(F$2:F$1000=GZ6)*ISNUMBER(SEARCH("prioritization",LOWER(Z$2:Z$1000)))*ISNUMBER(SEARCH(LOWER("heuristic"),LOWER(AB$2:AB$1000))))</f>
        <v>4</v>
      </c>
      <c r="HD6" cm="1">
        <f t="array" ref="HD6">SUMPRODUCT((Y$2:Y$1000="PS")*(F$2:F$1000=GZ6)*ISNUMBER(SEARCH("prioritization",LOWER(Z$2:Z$1000)))*ISNUMBER(SEARCH(LOWER("ml"),LOWER(AB$2:AB$1000))))</f>
        <v>1</v>
      </c>
      <c r="HE6" cm="1">
        <f t="array" ref="HE6">SUMPRODUCT((Y$2:Y$1000="PS")*(F$2:F$1000=GZ6)*ISNUMBER(SEARCH("prioritization",LOWER(Z$2:Z$1000)))*ISNUMBER(SEARCH(LOWER("rule"),LOWER(AB$2:AB$1000))))</f>
        <v>0</v>
      </c>
      <c r="HF6" cm="1">
        <f t="array" ref="HF6">SUMPRODUCT((Y$2:Y$1000="PS")*(F$2:F$1000=GZ6)*ISNUMBER(SEARCH("prioritization",LOWER(Z$2:Z$1000)))*ISNUMBER(SEARCH(LOWER(HF$2),LOWER(AB$2:AB$1000))))</f>
        <v>0</v>
      </c>
      <c r="HG6" cm="1">
        <f t="array" ref="HG6">SUMPRODUCT((Y$2:Y$1000="PS")*(F$2:F$1000=GZ6)*ISNUMBER(SEARCH("prioritization",LOWER(Z$2:Z$1000)))*ISNUMBER(SEARCH(LOWER("model"),LOWER(AB$2:AB$1000))))</f>
        <v>0</v>
      </c>
      <c r="HH6" cm="1">
        <f t="array" ref="HH6">SUMPRODUCT((Y$2:Y$1000="PS")*(F$2:F$1000=GZ6)*ISNUMBER(SEARCH("prioritization",LOWER(Z$2:Z$1000)))*ISNUMBER(SEARCH(LOWER(HH$2),LOWER(AB$2:AB$1000))))</f>
        <v>0</v>
      </c>
      <c r="HI6" cm="1">
        <f t="array" ref="HI6">SUMPRODUCT((Y$2:Y$1000="PS")*(F$2:F$1000=GZ6)*ISNUMBER(SEARCH("prioritization",LOWER(Z$2:Z$1000)))*ISNUMBER(SEARCH(LOWER("quantum"),LOWER(AB$2:AB$1000))))</f>
        <v>0</v>
      </c>
      <c r="HJ6" cm="1">
        <f t="array" ref="HJ6">SUMPRODUCT((Y$2:Y$1000="PS")*(F$2:F$1000=GZ6)*ISNUMBER(SEARCH("prioritization",LOWER(Z$2:Z$1000)))*ISNUMBER(SEARCH(LOWER("genetic"),LOWER(AB$2:AB$1000))))</f>
        <v>0</v>
      </c>
      <c r="HK6" cm="1">
        <f t="array" ref="HK6">SUMPRODUCT((Y$2:Y$1000="PS")*(F$2:F$1000=GZ6)*ISNUMBER(SEARCH("prioritization",LOWER(Z$2:Z$1000)))*ISNUMBER(SEARCH(LOWER("graph"),LOWER(AB$2:AB$1000))))</f>
        <v>0</v>
      </c>
      <c r="HL6" cm="1">
        <f t="array" ref="HL6">SUMPRODUCT((Y$2:Y$1000="PS")*(F$2:F$1000=GZ6)*ISNUMBER(SEARCH("prioritization",LOWER(Z$2:Z$1000)))*ISNUMBER(SEARCH(LOWER("greedy"),LOWER(AB$2:AB$1000))))</f>
        <v>3</v>
      </c>
      <c r="HM6" cm="1">
        <f t="array" ref="HM6">SUMPRODUCT((Y$2:Y$1000="PS")*(F$2:F$1000=GZ6)*ISNUMBER(SEARCH("prioritization",LOWER(Z$2:Z$1000)))*ISNUMBER(SEARCH(LOWER("dynamic"),LOWER(AB$2:AB$1000))))</f>
        <v>0</v>
      </c>
    </row>
    <row r="7" spans="1:221" ht="409.6">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1372</v>
      </c>
      <c r="AC7" s="2" t="s">
        <v>115</v>
      </c>
      <c r="AD7" s="2" t="s">
        <v>116</v>
      </c>
      <c r="AE7" s="2" t="s">
        <v>117</v>
      </c>
      <c r="AF7" s="2" t="s">
        <v>65</v>
      </c>
      <c r="AG7" s="2" t="s">
        <v>118</v>
      </c>
      <c r="AH7" s="2">
        <v>0.5</v>
      </c>
      <c r="AK7">
        <f t="shared" si="5"/>
        <v>1</v>
      </c>
      <c r="AL7">
        <f t="shared" si="0"/>
        <v>0</v>
      </c>
      <c r="AM7">
        <f t="shared" si="1"/>
        <v>0</v>
      </c>
      <c r="AN7">
        <f t="shared" si="2"/>
        <v>1</v>
      </c>
      <c r="AP7">
        <v>2017</v>
      </c>
      <c r="AQ7">
        <f t="shared" si="8"/>
        <v>7</v>
      </c>
      <c r="AR7">
        <f t="shared" si="3"/>
        <v>0</v>
      </c>
      <c r="AS7">
        <f t="shared" si="6"/>
        <v>3</v>
      </c>
      <c r="AT7">
        <f t="shared" si="4"/>
        <v>6</v>
      </c>
      <c r="AY7" t="s">
        <v>1320</v>
      </c>
      <c r="AZ7" cm="1">
        <f t="array" ref="AZ7">SUMPRODUCT(($Y$2:$Y$1000="PS")*(ISNUMBER(FIND(UPPER("prioritization"),UPPER($Z$2:$Z$1000))))*(ISNUMBER(FIND(UPPER("clustering"),UPPER($AA$2:$AA$1000))))*((ISNUMBER(FIND(UPPER("heuristic"),UPPER($AB$2:$AB$1000))))*(NOT(ISNUMBER(FIND(UPPER("meta"),UPPER($AB$2:$AB$1000)))))))</f>
        <v>2</v>
      </c>
      <c r="BA7" cm="1">
        <f t="array" ref="BA7">SUMPRODUCT(($Y$2:$Y$1000="PS")*(ISNUMBER(FIND(UPPER("prioritization"),UPPER($Z$2:$Z$1000))))*(ISNUMBER(FIND(UPPER("clustering"),UPPER($AA$2:$AA$1000))))*((ISNUMBER(FIND(UPPER("metaheuristic"),UPPER($AB$2:$AB$1000))))+(ISNUMBER(FIND(UPPER("meta-heuristic"),UPPER($AB$2:$AB$1000))))))</f>
        <v>0</v>
      </c>
      <c r="BB7" cm="1">
        <f t="array" ref="BB7">SUMPRODUCT(($Y$2:$Y$1000="PS")*(ISNUMBER(FIND(UPPER("prioritization"),UPPER($Z$2:$Z$1000))))*(ISNUMBER(FIND(UPPER("clustering"),UPPER($AA$2:$AA$1000))))*(ISNUMBER(FIND(UPPER("graph"),UPPER($AB$2:$AB$1000)))))</f>
        <v>0</v>
      </c>
      <c r="BC7" cm="1">
        <f t="array" ref="BC7">SUMPRODUCT(($Y$2:$Y$1000="PS")*(ISNUMBER(FIND(UPPER("prioritization"),UPPER($Z$2:$Z$1000))))*(ISNUMBER(FIND(UPPER("clustering"),UPPER($AA$2:$AA$1000))))*(ISNUMBER(FIND(UPPER("dynamic programming"),UPPER($AB$2:$AB$1000)))))</f>
        <v>0</v>
      </c>
      <c r="BD7" cm="1">
        <f t="array" ref="BD7">SUMPRODUCT(($Y$2:$Y$1000="PS")*(ISNUMBER(FIND(UPPER("prioritization"),UPPER($Z$2:$Z$1000))))*(ISNUMBER(FIND(UPPER("clustering"),UPPER($AA$2:$AA$1000))))*(ISNUMBER(FIND(UPPER("ml-based"),UPPER($AB$2:$AB$1000)))))</f>
        <v>0</v>
      </c>
      <c r="BE7" cm="1">
        <f t="array" ref="BE7">SUMPRODUCT(($Y$2:$Y$1000="PS")*(ISNUMBER(FIND(UPPER("prioritization"),UPPER($Z$2:$Z$1000))))*(ISNUMBER(FIND(UPPER("clustering"),UPPER($AA$2:$AA$1000))))*(ISNUMBER(FIND(UPPER("greedy"),UPPER($AB$2:$AB$1000)))))</f>
        <v>0</v>
      </c>
      <c r="BH7" t="s">
        <v>1330</v>
      </c>
      <c r="BI7" cm="1">
        <f t="array" ref="BI7">SUMPRODUCT(($Y$2:$Y$1000="PS")*(ISNUMBER(FIND(UPPER("selection"),UPPER($Z$2:$Z$1000))))*(ISNUMBER(FIND(UPPER("textual difference"),UPPER($AA$2:$AA$1000))))*((ISNUMBER(FIND(UPPER("heuristic"),UPPER($AB$2:$AB$1000))))*(NOT(ISNUMBER(FIND(UPPER("meta"),UPPER($AB$2:$AB$1000)))))))</f>
        <v>0</v>
      </c>
      <c r="BJ7" cm="1">
        <f t="array" ref="BJ7">SUMPRODUCT(($Y$2:$Y$1000="PS")*(ISNUMBER(FIND(UPPER("selection"),UPPER($Z$2:$Z$1000))))*(ISNUMBER(FIND(UPPER("textual difference"),UPPER($AA$2:$AA$1000))))*((ISNUMBER(FIND(UPPER("metaheuristic"),UPPER($AB$2:$AB$1000))))+(ISNUMBER(FIND(UPPER("meta-heuristic"),UPPER($AB$2:$AB$1000))))))</f>
        <v>0</v>
      </c>
      <c r="BK7" cm="1">
        <f t="array" ref="BK7">SUMPRODUCT(($Y$2:$Y$1000="PS")*(ISNUMBER(FIND(UPPER("selection"),UPPER($Z$2:$Z$1000))))*(ISNUMBER(FIND(UPPER("textual difference"),UPPER($AA$2:$AA$1000))))*(ISNUMBER(FIND(UPPER("graph"),UPPER($AB$2:$AB$1000)))))</f>
        <v>0</v>
      </c>
      <c r="BL7" cm="1">
        <f t="array" ref="BL7">SUMPRODUCT(($Y$2:$Y$1000="PS")*(ISNUMBER(FIND(UPPER("selection"),UPPER($Z$2:$Z$1000))))*(ISNUMBER(FIND(UPPER("textual difference"),UPPER($AA$2:$AA$1000))))*(ISNUMBER(FIND(UPPER("dynamic programming"),UPPER($AB$2:$AB$1000)))))</f>
        <v>0</v>
      </c>
      <c r="BM7" cm="1">
        <f t="array" ref="BM7">SUMPRODUCT(($Y$2:$Y$1000="PS")*(ISNUMBER(FIND(UPPER("selection"),UPPER($Z$2:$Z$1000))))*(ISNUMBER(FIND(UPPER("textual difference"),UPPER($AA$2:$AA$1000))))*(ISNUMBER(FIND(UPPER("ml-based"),UPPER($AB$2:$AB$1000)))))</f>
        <v>0</v>
      </c>
      <c r="BN7" cm="1">
        <f t="array" ref="BN7">SUMPRODUCT(($Y$2:$Y$1000="PS")*(ISNUMBER(FIND(UPPER("selection"),UPPER($Z$2:$Z$1000))))*(ISNUMBER(FIND(UPPER("textual difference"),UPPER($AA$2:$AA$1000))))*(ISNUMBER(FIND(UPPER("greedy"),UPPER($AB$2:$AB$1000)))))</f>
        <v>0</v>
      </c>
      <c r="BX7" t="s">
        <v>1320</v>
      </c>
      <c r="BY7">
        <v>2</v>
      </c>
      <c r="CD7">
        <v>2</v>
      </c>
      <c r="CE7">
        <v>1</v>
      </c>
      <c r="CG7" t="s">
        <v>1330</v>
      </c>
      <c r="CN7">
        <v>2017</v>
      </c>
      <c r="CO7" cm="1">
        <f t="array" ref="CO7">SUMPRODUCT((Y$2:Y$1000="PS")*(F$2:F$1000=$CN7)*(AH$2:AH$1000=0))</f>
        <v>6</v>
      </c>
      <c r="CP7" cm="1">
        <f t="array" ref="CP7">SUMPRODUCT((Y$2:Y$1000="PS")*(F$2:F$1000=$CN7)*(AH$2:AH$1000=0.5))</f>
        <v>0</v>
      </c>
      <c r="CQ7" cm="1">
        <f t="array" ref="CQ7">SUMPRODUCT((Y$2:Y$1000="PS")*(F$2:F$1000=$CN7)*(AH$2:AH$1000=1))</f>
        <v>1</v>
      </c>
      <c r="CS7" s="38"/>
      <c r="CT7" s="38"/>
      <c r="CZ7" s="34"/>
      <c r="DF7" s="34"/>
      <c r="DH7" s="34"/>
      <c r="DI7" s="34"/>
      <c r="FQ7" t="s">
        <v>1273</v>
      </c>
      <c r="FR7" s="35" cm="1">
        <f t="array" ref="FR7">SUMPRODUCT((Y$2:Y$1000="PS")*ISNUMBER(SEARCH(LOWER(FQ7),LOWER(AA$2:AA$1000)))*ISNUMBER(SEARCH("prioritization",LOWER(Z$2:Z$1000))))</f>
        <v>2</v>
      </c>
      <c r="FV7">
        <v>2017</v>
      </c>
      <c r="FW7" s="35" cm="1">
        <f t="array" ref="FW7">SUMPRODUCT((Y$2:Y$1000="PS")*(F$2:F$1000=FV7)*ISNUMBER(SEARCH("prioritization",LOWER(Z$2:Z$1000)))*ISNUMBER(SEARCH("coverage",LOWER(AA$2:AA$1000))))</f>
        <v>3</v>
      </c>
      <c r="FX7" s="35" cm="1">
        <f t="array" ref="FX7">SUMPRODUCT((Y$2:Y$1000="PS")*(F$2:F$1000=FV7)*ISNUMBER(SEARCH("prioritization",LOWER(Z$2:Z$1000)))*ISNUMBER(SEARCH("requirement",LOWER(AA$2:AA$1000))))</f>
        <v>0</v>
      </c>
      <c r="FY7" s="35" cm="1">
        <f t="array" ref="FY7">SUMPRODUCT((Y$2:Y$1000="PS")*(F$2:F$1000=FV7)*ISNUMBER(SEARCH("prioritization",LOWER(Z$2:Z$1000)))*ISNUMBER(SEARCH("probab",LOWER(AA$2:AA$1000))))</f>
        <v>0</v>
      </c>
      <c r="FZ7" s="35" cm="1">
        <f t="array" ref="FZ7">SUMPRODUCT((Y$2:Y$1000="PS")*(F$2:F$1000=FV7)*ISNUMBER(SEARCH("prioritization",LOWER(Z$2:Z$1000)))*ISNUMBER(SEARCH("distribution",LOWER(AA$2:AA$1000))))</f>
        <v>1</v>
      </c>
      <c r="GA7" s="35" cm="1">
        <f t="array" ref="GA7">SUMPRODUCT((Y$2:Y$1000="PS")*(F$2:F$1000=FV7)*ISNUMBER(SEARCH("prioritization",LOWER(Z$2:Z$1000)))*ISNUMBER(SEARCH("clustering",LOWER(AA$2:AA$1000))))</f>
        <v>0</v>
      </c>
      <c r="GB7" s="35" cm="1">
        <f t="array" ref="GB7">SUMPRODUCT((Y$2:Y$1000="PS")*(F$2:F$1000=FV7)*ISNUMBER(SEARCH("prioritization",LOWER(Z$2:Z$1000)))*ISNUMBER(SEARCH("history",LOWER(AA$2:AA$1000))))</f>
        <v>3</v>
      </c>
      <c r="GC7" s="35" cm="1">
        <f t="array" ref="GC7">SUMPRODUCT((Y$2:Y$1000="PS")*(F$2:F$1000=FV7)*ISNUMBER(SEARCH("prioritization",LOWER(Z$2:Z$1000)))*ISNUMBER(SEARCH("model",LOWER(AA$2:AA$1000))))</f>
        <v>0</v>
      </c>
      <c r="GD7" s="35" cm="1">
        <f t="array" ref="GD7">SUMPRODUCT((Y$2:Y$1000="PS")*(F$2:F$1000=FV7)*ISNUMBER(SEARCH("prioritization",LOWER(Z$2:Z$1000)))*ISNUMBER(SEARCH("cost-aware",LOWER(AA$2:AA$1000))))</f>
        <v>1</v>
      </c>
      <c r="GE7" s="35" cm="1">
        <f t="array" ref="GE7">SUMPRODUCT((Y$2:Y$1000="PS")*(F$2:F$1000=FV7)*ISNUMBER(SEARCH("prioritization",LOWER(Z$2:Z$1000)))*ISNUMBER(SEARCH("similarity",LOWER(AA$2:AA$1000))))</f>
        <v>0</v>
      </c>
      <c r="GF7" s="35" cm="1">
        <f t="array" ref="GF7">SUMPRODUCT((Y$2:Y$1000="PS")*(F$2:F$1000=FV7)*ISNUMBER(SEARCH("prioritization",LOWER(Z$2:Z$1000)))*ISNUMBER(SEARCH("input",LOWER(AA$2:AA$1000))))</f>
        <v>0</v>
      </c>
      <c r="GG7" s="35" cm="1">
        <f t="array" ref="GG7">SUMPRODUCT((Y$2:Y$1000="PS")*(F$2:F$1000=FV7)*ISNUMBER(SEARCH("prioritization",LOWER(Z$2:Z$1000)))*ISNUMBER(SEARCH("structure",LOWER(AA$2:AA$1000))))</f>
        <v>0</v>
      </c>
      <c r="GH7" s="35" cm="1">
        <f t="array" ref="GH7">SUMPRODUCT((Y$2:Y$1000="PS")*(F$2:F$1000=FV7)*ISNUMBER(SEARCH("prioritization",LOWER(Z$2:Z$1000)))*ISNUMBER(SEARCH("change",LOWER(AA$2:AA$1000))))</f>
        <v>0</v>
      </c>
      <c r="GI7" s="35" cm="1">
        <f t="array" ref="GI7">SUMPRODUCT((Y$2:Y$1000="PS")*(F$2:F$1000=FV7)*ISNUMBER(SEARCH("prioritization",LOWER(Z$2:Z$1000)))*ISNUMBER(SEARCH("ml",LOWER(AA$2:AA$1000))))</f>
        <v>0</v>
      </c>
      <c r="GJ7" s="35" cm="1">
        <f t="array" ref="GJ7">SUMPRODUCT((Y$2:Y$1000="PS")*(F$2:F$1000=FV7)*ISNUMBER(SEARCH("prioritization",LOWER(Z$2:Z$1000)))*ISNUMBER(SEARCH("heuristic",LOWER(AA$2:AA$1000))))</f>
        <v>0</v>
      </c>
      <c r="GK7" s="35" cm="1">
        <f t="array" ref="GK7">SUMPRODUCT((Y$2:Y$1000="PS")*(F$2:F$1000=FV7)*ISNUMBER(SEARCH("prioritization",LOWER(Z$2:Z$1000)))*ISNUMBER(SEARCH("search",LOWER(AA$2:AA$1000))))</f>
        <v>0</v>
      </c>
      <c r="GL7" s="35" cm="1">
        <f t="array" ref="GL7">SUMPRODUCT((Y$2:Y$1000="PS")*(F$2:F$1000=FV7)*ISNUMBER(SEARCH("prioritization",LOWER(Z$2:Z$1000)))*ISNUMBER(SEARCH("transfer",LOWER(AA$2:AA$1000))))</f>
        <v>0</v>
      </c>
      <c r="GM7" s="35" cm="1">
        <f t="array" ref="GM7">SUMPRODUCT((Y$2:Y$1000="PS")*(F$2:F$1000=FV7)*ISNUMBER(SEARCH("prioritization",LOWER(Z$2:Z$1000)))*ISNUMBER(SEARCH("riski",LOWER(AA$2:AA$1000))))</f>
        <v>0</v>
      </c>
      <c r="GN7" s="35" cm="1">
        <f t="array" ref="GN7">SUMPRODUCT((Y$2:Y$1000="PS")*(F$2:F$1000=FV7)*ISNUMBER(SEARCH("prioritization",LOWER(Z$2:Z$1000)))*ISNUMBER(SEARCH("nlp",LOWER(AA$2:AA$1000))))</f>
        <v>0</v>
      </c>
      <c r="GO7" s="35" cm="1">
        <f t="array" ref="GO7">SUMPRODUCT((Y$2:Y$1000="PS")*(F$2:F$1000=FV7)*ISNUMBER(SEARCH("prioritization",LOWER(Z$2:Z$1000)))*ISNUMBER(SEARCH("design",LOWER(AA$2:AA$1000))))</f>
        <v>0</v>
      </c>
      <c r="GP7" s="35" cm="1">
        <f t="array" ref="GP7">SUMPRODUCT((Y$2:Y$1000="PS")*(F$2:F$1000=FV7)*ISNUMBER(SEARCH("prioritization",LOWER(Z$2:Z$1000)))*ISNUMBER(SEARCH("other",LOWER(AA$2:AA$1000))))</f>
        <v>0</v>
      </c>
      <c r="GQ7">
        <f t="shared" si="7"/>
        <v>0</v>
      </c>
      <c r="GZ7">
        <v>2017</v>
      </c>
      <c r="HA7" cm="1">
        <f t="array" ref="HA7">SUMPRODUCT((Y$2:Y$1000="PS")*(F$2:F$1000=GZ7)*ISNUMBER(SEARCH("prioritization",LOWER(Z$2:Z$1000)))*ISNUMBER(SEARCH(LOWER("metaheuristic"),LOWER(AB$2:AB$1000))))</f>
        <v>0</v>
      </c>
      <c r="HB7" cm="1">
        <f t="array" ref="HB7">SUMPRODUCT((Y$2:Y$1000="PS")*(F$2:F$1000=GZ7)*ISNUMBER(SEARCH("prioritization",LOWER(Z$2:Z$1000)))*ISNUMBER(SEARCH(LOWER("search"),LOWER(AB$2:AB$1000))))</f>
        <v>0</v>
      </c>
      <c r="HC7" cm="1">
        <f t="array" ref="HC7">SUMPRODUCT((Y$2:Y$1000="PS")*(F$2:F$1000=GZ7)*ISNUMBER(SEARCH("prioritization",LOWER(Z$2:Z$1000)))*ISNUMBER(SEARCH(LOWER("heuristic"),LOWER(AB$2:AB$1000))))</f>
        <v>3</v>
      </c>
      <c r="HD7" cm="1">
        <f t="array" ref="HD7">SUMPRODUCT((Y$2:Y$1000="PS")*(F$2:F$1000=GZ7)*ISNUMBER(SEARCH("prioritization",LOWER(Z$2:Z$1000)))*ISNUMBER(SEARCH(LOWER("ml"),LOWER(AB$2:AB$1000))))</f>
        <v>1</v>
      </c>
      <c r="HE7" cm="1">
        <f t="array" ref="HE7">SUMPRODUCT((Y$2:Y$1000="PS")*(F$2:F$1000=GZ7)*ISNUMBER(SEARCH("prioritization",LOWER(Z$2:Z$1000)))*ISNUMBER(SEARCH(LOWER("rule"),LOWER(AB$2:AB$1000))))</f>
        <v>0</v>
      </c>
      <c r="HF7" cm="1">
        <f t="array" ref="HF7">SUMPRODUCT((Y$2:Y$1000="PS")*(F$2:F$1000=GZ7)*ISNUMBER(SEARCH("prioritization",LOWER(Z$2:Z$1000)))*ISNUMBER(SEARCH(LOWER(HF$2),LOWER(AB$2:AB$1000))))</f>
        <v>0</v>
      </c>
      <c r="HG7" cm="1">
        <f t="array" ref="HG7">SUMPRODUCT((Y$2:Y$1000="PS")*(F$2:F$1000=GZ7)*ISNUMBER(SEARCH("prioritization",LOWER(Z$2:Z$1000)))*ISNUMBER(SEARCH(LOWER("model"),LOWER(AB$2:AB$1000))))</f>
        <v>0</v>
      </c>
      <c r="HH7" cm="1">
        <f t="array" ref="HH7">SUMPRODUCT((Y$2:Y$1000="PS")*(F$2:F$1000=GZ7)*ISNUMBER(SEARCH("prioritization",LOWER(Z$2:Z$1000)))*ISNUMBER(SEARCH(LOWER(HH$2),LOWER(AB$2:AB$1000))))</f>
        <v>0</v>
      </c>
      <c r="HI7" cm="1">
        <f t="array" ref="HI7">SUMPRODUCT((Y$2:Y$1000="PS")*(F$2:F$1000=GZ7)*ISNUMBER(SEARCH("prioritization",LOWER(Z$2:Z$1000)))*ISNUMBER(SEARCH(LOWER("quantum"),LOWER(AB$2:AB$1000))))</f>
        <v>0</v>
      </c>
      <c r="HJ7" cm="1">
        <f t="array" ref="HJ7">SUMPRODUCT((Y$2:Y$1000="PS")*(F$2:F$1000=GZ7)*ISNUMBER(SEARCH("prioritization",LOWER(Z$2:Z$1000)))*ISNUMBER(SEARCH(LOWER("genetic"),LOWER(AB$2:AB$1000))))</f>
        <v>0</v>
      </c>
      <c r="HK7" cm="1">
        <f t="array" ref="HK7">SUMPRODUCT((Y$2:Y$1000="PS")*(F$2:F$1000=GZ7)*ISNUMBER(SEARCH("prioritization",LOWER(Z$2:Z$1000)))*ISNUMBER(SEARCH(LOWER("graph"),LOWER(AB$2:AB$1000))))</f>
        <v>0</v>
      </c>
      <c r="HL7" cm="1">
        <f t="array" ref="HL7">SUMPRODUCT((Y$2:Y$1000="PS")*(F$2:F$1000=GZ7)*ISNUMBER(SEARCH("prioritization",LOWER(Z$2:Z$1000)))*ISNUMBER(SEARCH(LOWER("greedy"),LOWER(AB$2:AB$1000))))</f>
        <v>2</v>
      </c>
      <c r="HM7" cm="1">
        <f t="array" ref="HM7">SUMPRODUCT((Y$2:Y$1000="PS")*(F$2:F$1000=GZ7)*ISNUMBER(SEARCH("prioritization",LOWER(Z$2:Z$1000)))*ISNUMBER(SEARCH(LOWER("dynamic"),LOWER(AB$2:AB$1000))))</f>
        <v>0</v>
      </c>
    </row>
    <row r="8" spans="1:221" ht="409.6">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1391</v>
      </c>
      <c r="AH8" s="2">
        <v>0</v>
      </c>
      <c r="AK8">
        <f t="shared" si="5"/>
        <v>1</v>
      </c>
      <c r="AL8">
        <f t="shared" si="0"/>
        <v>0</v>
      </c>
      <c r="AM8">
        <f t="shared" si="1"/>
        <v>1</v>
      </c>
      <c r="AN8">
        <f t="shared" si="2"/>
        <v>0</v>
      </c>
      <c r="AP8">
        <v>2018</v>
      </c>
      <c r="AQ8">
        <f t="shared" si="8"/>
        <v>13</v>
      </c>
      <c r="AR8">
        <f t="shared" si="3"/>
        <v>0</v>
      </c>
      <c r="AS8">
        <f t="shared" si="6"/>
        <v>4</v>
      </c>
      <c r="AT8">
        <f t="shared" si="4"/>
        <v>8</v>
      </c>
      <c r="AY8" t="s">
        <v>114</v>
      </c>
      <c r="AZ8" cm="1">
        <f t="array" ref="AZ8">SUMPRODUCT(($Y$2:$Y$1000="PS")*(ISNUMBER(FIND(UPPER("prioritization"),UPPER($Z$2:$Z$1000))))*(ISNUMBER(FIND(UPPER("history"),UPPER($AA$2:$AA$1000))))*((ISNUMBER(FIND(UPPER("heuristic"),UPPER($AB$2:$AB$1000))))*(NOT(ISNUMBER(FIND(UPPER("meta"),UPPER($AB$2:$AB$1000)))))))</f>
        <v>11</v>
      </c>
      <c r="BA8" cm="1">
        <f t="array" ref="BA8">SUMPRODUCT(($Y$2:$Y$1000="PS")*(ISNUMBER(FIND(UPPER("prioritization"),UPPER($Z$2:$Z$1000))))*(ISNUMBER(FIND(UPPER("history"),UPPER($AA$2:$AA$1000))))*((ISNUMBER(FIND(UPPER("metaheuristic"),UPPER($AB$2:$AB$1000))))+(ISNUMBER(FIND(UPPER("meta-heuristic"),UPPER($AB$2:$AB$1000))))))</f>
        <v>1</v>
      </c>
      <c r="BB8" cm="1">
        <f t="array" ref="BB8">SUMPRODUCT(($Y$2:$Y$1000="PS")*(ISNUMBER(FIND(UPPER("prioritization"),UPPER($Z$2:$Z$1000))))*(ISNUMBER(FIND(UPPER("history"),UPPER($AA$2:$AA$1000))))*(ISNUMBER(FIND(UPPER("graph"),UPPER($AB$2:$AB$1000)))))</f>
        <v>1</v>
      </c>
      <c r="BC8" cm="1">
        <f t="array" ref="BC8">SUMPRODUCT(($Y$2:$Y$1000="PS")*(ISNUMBER(FIND(UPPER("prioritization"),UPPER($Z$2:$Z$1000))))*(ISNUMBER(FIND(UPPER("history"),UPPER($AA$2:$AA$1000))))*(ISNUMBER(FIND(UPPER("dynamic programming"),UPPER($AB$2:$AB$1000)))))</f>
        <v>0</v>
      </c>
      <c r="BD8" cm="1">
        <f t="array" ref="BD8">SUMPRODUCT(($Y$2:$Y$1000="PS")*(ISNUMBER(FIND(UPPER("prioritization"),UPPER($Z$2:$Z$1000))))*(ISNUMBER(FIND(UPPER("history"),UPPER($AA$2:$AA$1000))))*(ISNUMBER(FIND(UPPER("ml-based"),UPPER($AB$2:$AB$1000)))))</f>
        <v>10</v>
      </c>
      <c r="BE8" cm="1">
        <f t="array" ref="BE8">SUMPRODUCT(($Y$2:$Y$1000="PS")*(ISNUMBER(FIND(UPPER("prioritization"),UPPER($Z$2:$Z$1000))))*(ISNUMBER(FIND(UPPER("history"),UPPER($AA$2:$AA$1000))))*(ISNUMBER(FIND(UPPER("greedy"),UPPER($AB$2:$AB$1000)))))</f>
        <v>0</v>
      </c>
      <c r="BH8" t="s">
        <v>1331</v>
      </c>
      <c r="BI8" cm="1">
        <f t="array" ref="BI8">SUMPRODUCT(($Y$2:$Y$1000="PS")*(ISNUMBER(FIND(UPPER("selection"),UPPER($Z$2:$Z$1000))))*(ISNUMBER(FIND(UPPER("sdg"),UPPER($AA$2:$AA$1000))))*((ISNUMBER(FIND(UPPER("heuristic"),UPPER($AB$2:$AB$1000))))*(NOT(ISNUMBER(FIND(UPPER("meta"),UPPER($AB$2:$AB$1000)))))))</f>
        <v>0</v>
      </c>
      <c r="BJ8" cm="1">
        <f t="array" ref="BJ8">SUMPRODUCT(($Y$2:$Y$1000="PS")*(ISNUMBER(FIND(UPPER("selection"),UPPER($Z$2:$Z$1000))))*(ISNUMBER(FIND(UPPER("sdg"),UPPER($AA$2:$AA$1000))))*((ISNUMBER(FIND(UPPER("metaheuristic"),UPPER($AB$2:$AB$1000))))+(ISNUMBER(FIND(UPPER("meta-heuristic"),UPPER($AB$2:$AB$1000))))))</f>
        <v>0</v>
      </c>
      <c r="BK8" cm="1">
        <f t="array" ref="BK8">SUMPRODUCT(($Y$2:$Y$1000="PS")*(ISNUMBER(FIND(UPPER("selection"),UPPER($Z$2:$Z$1000))))*(ISNUMBER(FIND(UPPER("sdg"),UPPER($AA$2:$AA$1000))))*(ISNUMBER(FIND(UPPER("graph"),UPPER($AB$2:$AB$1000)))))</f>
        <v>0</v>
      </c>
      <c r="BL8" cm="1">
        <f t="array" ref="BL8">SUMPRODUCT(($Y$2:$Y$1000="PS")*(ISNUMBER(FIND(UPPER("selection"),UPPER($Z$2:$Z$1000))))*(ISNUMBER(FIND(UPPER("sdg"),UPPER($AA$2:$AA$1000))))*(ISNUMBER(FIND(UPPER("dynamic programming"),UPPER($AB$2:$AB$1000)))))</f>
        <v>0</v>
      </c>
      <c r="BM8" cm="1">
        <f t="array" ref="BM8">SUMPRODUCT(($Y$2:$Y$1000="PS")*(ISNUMBER(FIND(UPPER("selection"),UPPER($Z$2:$Z$1000))))*(ISNUMBER(FIND(UPPER("sdg"),UPPER($AA$2:$AA$1000))))*(ISNUMBER(FIND(UPPER("ml-based"),UPPER($AB$2:$AB$1000)))))</f>
        <v>0</v>
      </c>
      <c r="BN8" cm="1">
        <f t="array" ref="BN8">SUMPRODUCT(($Y$2:$Y$1000="PS")*(ISNUMBER(FIND(UPPER("selection"),UPPER($Z$2:$Z$1000))))*(ISNUMBER(FIND(UPPER("sdg"),UPPER($AA$2:$AA$1000))))*(ISNUMBER(FIND(UPPER("greedy"),UPPER($AB$2:$AB$1000)))))</f>
        <v>0</v>
      </c>
      <c r="BX8" t="s">
        <v>114</v>
      </c>
      <c r="BY8">
        <v>15</v>
      </c>
      <c r="BZ8">
        <v>1</v>
      </c>
      <c r="CA8">
        <v>2</v>
      </c>
      <c r="CE8">
        <v>3</v>
      </c>
      <c r="CG8" t="s">
        <v>1331</v>
      </c>
      <c r="CN8">
        <v>2018</v>
      </c>
      <c r="CO8" cm="1">
        <f t="array" ref="CO8">SUMPRODUCT((Y$2:Y$1000="PS")*(F$2:F$1000=$CN8)*(AH$2:AH$1000=0))</f>
        <v>7</v>
      </c>
      <c r="CP8" cm="1">
        <f t="array" ref="CP8">SUMPRODUCT((Y$2:Y$1000="PS")*(F$2:F$1000=$CN8)*(AH$2:AH$1000=0.5))</f>
        <v>4</v>
      </c>
      <c r="CQ8" cm="1">
        <f t="array" ref="CQ8">SUMPRODUCT((Y$2:Y$1000="PS")*(F$2:F$1000=$CN8)*(AH$2:AH$1000=1))</f>
        <v>2</v>
      </c>
      <c r="CS8" s="38"/>
      <c r="CT8" s="38"/>
      <c r="CZ8" s="34"/>
      <c r="DF8" s="34"/>
      <c r="DH8" s="34"/>
      <c r="DI8" s="34"/>
      <c r="FQ8" t="s">
        <v>1274</v>
      </c>
      <c r="FR8" s="35" cm="1">
        <f t="array" ref="FR8">SUMPRODUCT((Y$2:Y$1000="PS")*ISNUMBER(SEARCH(LOWER(FQ8),LOWER(AA$2:AA$1000)))*ISNUMBER(SEARCH("prioritization",LOWER(Z$2:Z$1000))))</f>
        <v>22</v>
      </c>
      <c r="FV8">
        <v>2018</v>
      </c>
      <c r="FW8" s="35" cm="1">
        <f t="array" ref="FW8">SUMPRODUCT((Y$2:Y$1000="PS")*(F$2:F$1000=FV8)*ISNUMBER(SEARCH("prioritization",LOWER(Z$2:Z$1000)))*ISNUMBER(SEARCH("coverage",LOWER(AA$2:AA$1000))))</f>
        <v>4</v>
      </c>
      <c r="FX8" s="35" cm="1">
        <f t="array" ref="FX8">SUMPRODUCT((Y$2:Y$1000="PS")*(F$2:F$1000=FV8)*ISNUMBER(SEARCH("prioritization",LOWER(Z$2:Z$1000)))*ISNUMBER(SEARCH("requirement",LOWER(AA$2:AA$1000))))</f>
        <v>1</v>
      </c>
      <c r="FY8" s="35" cm="1">
        <f t="array" ref="FY8">SUMPRODUCT((Y$2:Y$1000="PS")*(F$2:F$1000=FV8)*ISNUMBER(SEARCH("prioritization",LOWER(Z$2:Z$1000)))*ISNUMBER(SEARCH("probab",LOWER(AA$2:AA$1000))))</f>
        <v>0</v>
      </c>
      <c r="FZ8" s="35" cm="1">
        <f t="array" ref="FZ8">SUMPRODUCT((Y$2:Y$1000="PS")*(F$2:F$1000=FV8)*ISNUMBER(SEARCH("prioritization",LOWER(Z$2:Z$1000)))*ISNUMBER(SEARCH("distribution",LOWER(AA$2:AA$1000))))</f>
        <v>0</v>
      </c>
      <c r="GA8" s="35" cm="1">
        <f t="array" ref="GA8">SUMPRODUCT((Y$2:Y$1000="PS")*(F$2:F$1000=FV8)*ISNUMBER(SEARCH("prioritization",LOWER(Z$2:Z$1000)))*ISNUMBER(SEARCH("clustering",LOWER(AA$2:AA$1000))))</f>
        <v>0</v>
      </c>
      <c r="GB8" s="35" cm="1">
        <f t="array" ref="GB8">SUMPRODUCT((Y$2:Y$1000="PS")*(F$2:F$1000=FV8)*ISNUMBER(SEARCH("prioritization",LOWER(Z$2:Z$1000)))*ISNUMBER(SEARCH("history",LOWER(AA$2:AA$1000))))</f>
        <v>3</v>
      </c>
      <c r="GC8" s="35" cm="1">
        <f t="array" ref="GC8">SUMPRODUCT((Y$2:Y$1000="PS")*(F$2:F$1000=FV8)*ISNUMBER(SEARCH("prioritization",LOWER(Z$2:Z$1000)))*ISNUMBER(SEARCH("model",LOWER(AA$2:AA$1000))))</f>
        <v>1</v>
      </c>
      <c r="GD8" s="35" cm="1">
        <f t="array" ref="GD8">SUMPRODUCT((Y$2:Y$1000="PS")*(F$2:F$1000=FV8)*ISNUMBER(SEARCH("prioritization",LOWER(Z$2:Z$1000)))*ISNUMBER(SEARCH("cost-aware",LOWER(AA$2:AA$1000))))</f>
        <v>0</v>
      </c>
      <c r="GE8" s="35" cm="1">
        <f t="array" ref="GE8">SUMPRODUCT((Y$2:Y$1000="PS")*(F$2:F$1000=FV8)*ISNUMBER(SEARCH("prioritization",LOWER(Z$2:Z$1000)))*ISNUMBER(SEARCH("similarity",LOWER(AA$2:AA$1000))))</f>
        <v>0</v>
      </c>
      <c r="GF8" s="35" cm="1">
        <f t="array" ref="GF8">SUMPRODUCT((Y$2:Y$1000="PS")*(F$2:F$1000=FV8)*ISNUMBER(SEARCH("prioritization",LOWER(Z$2:Z$1000)))*ISNUMBER(SEARCH("input",LOWER(AA$2:AA$1000))))</f>
        <v>0</v>
      </c>
      <c r="GG8" s="35" cm="1">
        <f t="array" ref="GG8">SUMPRODUCT((Y$2:Y$1000="PS")*(F$2:F$1000=FV8)*ISNUMBER(SEARCH("prioritization",LOWER(Z$2:Z$1000)))*ISNUMBER(SEARCH("structure",LOWER(AA$2:AA$1000))))</f>
        <v>0</v>
      </c>
      <c r="GH8" s="35" cm="1">
        <f t="array" ref="GH8">SUMPRODUCT((Y$2:Y$1000="PS")*(F$2:F$1000=FV8)*ISNUMBER(SEARCH("prioritization",LOWER(Z$2:Z$1000)))*ISNUMBER(SEARCH("change",LOWER(AA$2:AA$1000))))</f>
        <v>0</v>
      </c>
      <c r="GI8" s="35" cm="1">
        <f t="array" ref="GI8">SUMPRODUCT((Y$2:Y$1000="PS")*(F$2:F$1000=FV8)*ISNUMBER(SEARCH("prioritization",LOWER(Z$2:Z$1000)))*ISNUMBER(SEARCH("ml",LOWER(AA$2:AA$1000))))</f>
        <v>0</v>
      </c>
      <c r="GJ8" s="35" cm="1">
        <f t="array" ref="GJ8">SUMPRODUCT((Y$2:Y$1000="PS")*(F$2:F$1000=FV8)*ISNUMBER(SEARCH("prioritization",LOWER(Z$2:Z$1000)))*ISNUMBER(SEARCH("heuristic",LOWER(AA$2:AA$1000))))</f>
        <v>0</v>
      </c>
      <c r="GK8" s="35" cm="1">
        <f t="array" ref="GK8">SUMPRODUCT((Y$2:Y$1000="PS")*(F$2:F$1000=FV8)*ISNUMBER(SEARCH("prioritization",LOWER(Z$2:Z$1000)))*ISNUMBER(SEARCH("search",LOWER(AA$2:AA$1000))))</f>
        <v>0</v>
      </c>
      <c r="GL8" s="35" cm="1">
        <f t="array" ref="GL8">SUMPRODUCT((Y$2:Y$1000="PS")*(F$2:F$1000=FV8)*ISNUMBER(SEARCH("prioritization",LOWER(Z$2:Z$1000)))*ISNUMBER(SEARCH("transfer",LOWER(AA$2:AA$1000))))</f>
        <v>0</v>
      </c>
      <c r="GM8" s="35" cm="1">
        <f t="array" ref="GM8">SUMPRODUCT((Y$2:Y$1000="PS")*(F$2:F$1000=FV8)*ISNUMBER(SEARCH("prioritization",LOWER(Z$2:Z$1000)))*ISNUMBER(SEARCH("riski",LOWER(AA$2:AA$1000))))</f>
        <v>0</v>
      </c>
      <c r="GN8" s="35" cm="1">
        <f t="array" ref="GN8">SUMPRODUCT((Y$2:Y$1000="PS")*(F$2:F$1000=FV8)*ISNUMBER(SEARCH("prioritization",LOWER(Z$2:Z$1000)))*ISNUMBER(SEARCH("nlp",LOWER(AA$2:AA$1000))))</f>
        <v>0</v>
      </c>
      <c r="GO8" s="35" cm="1">
        <f t="array" ref="GO8">SUMPRODUCT((Y$2:Y$1000="PS")*(F$2:F$1000=FV8)*ISNUMBER(SEARCH("prioritization",LOWER(Z$2:Z$1000)))*ISNUMBER(SEARCH("design",LOWER(AA$2:AA$1000))))</f>
        <v>0</v>
      </c>
      <c r="GP8" s="35" cm="1">
        <f t="array" ref="GP8">SUMPRODUCT((Y$2:Y$1000="PS")*(F$2:F$1000=FV8)*ISNUMBER(SEARCH("prioritization",LOWER(Z$2:Z$1000)))*ISNUMBER(SEARCH("other",LOWER(AA$2:AA$1000))))</f>
        <v>1</v>
      </c>
      <c r="GQ8">
        <f t="shared" si="7"/>
        <v>0</v>
      </c>
      <c r="GZ8">
        <v>2018</v>
      </c>
      <c r="HA8" cm="1">
        <f t="array" ref="HA8">SUMPRODUCT((Y$2:Y$1000="PS")*(F$2:F$1000=GZ8)*ISNUMBER(SEARCH("prioritization",LOWER(Z$2:Z$1000)))*ISNUMBER(SEARCH(LOWER("metaheuristic"),LOWER(AB$2:AB$1000))))</f>
        <v>0</v>
      </c>
      <c r="HB8" cm="1">
        <f t="array" ref="HB8">SUMPRODUCT((Y$2:Y$1000="PS")*(F$2:F$1000=GZ8)*ISNUMBER(SEARCH("prioritization",LOWER(Z$2:Z$1000)))*ISNUMBER(SEARCH(LOWER("search"),LOWER(AB$2:AB$1000))))</f>
        <v>0</v>
      </c>
      <c r="HC8" cm="1">
        <f t="array" ref="HC8">SUMPRODUCT((Y$2:Y$1000="PS")*(F$2:F$1000=GZ8)*ISNUMBER(SEARCH("prioritization",LOWER(Z$2:Z$1000)))*ISNUMBER(SEARCH(LOWER("heuristic"),LOWER(AB$2:AB$1000))))</f>
        <v>3</v>
      </c>
      <c r="HD8" cm="1">
        <f t="array" ref="HD8">SUMPRODUCT((Y$2:Y$1000="PS")*(F$2:F$1000=GZ8)*ISNUMBER(SEARCH("prioritization",LOWER(Z$2:Z$1000)))*ISNUMBER(SEARCH(LOWER("ml"),LOWER(AB$2:AB$1000))))</f>
        <v>2</v>
      </c>
      <c r="HE8" cm="1">
        <f t="array" ref="HE8">SUMPRODUCT((Y$2:Y$1000="PS")*(F$2:F$1000=GZ8)*ISNUMBER(SEARCH("prioritization",LOWER(Z$2:Z$1000)))*ISNUMBER(SEARCH(LOWER("rule"),LOWER(AB$2:AB$1000))))</f>
        <v>0</v>
      </c>
      <c r="HF8" cm="1">
        <f t="array" ref="HF8">SUMPRODUCT((Y$2:Y$1000="PS")*(F$2:F$1000=GZ8)*ISNUMBER(SEARCH("prioritization",LOWER(Z$2:Z$1000)))*ISNUMBER(SEARCH(LOWER(HF$2),LOWER(AB$2:AB$1000))))</f>
        <v>0</v>
      </c>
      <c r="HG8" cm="1">
        <f t="array" ref="HG8">SUMPRODUCT((Y$2:Y$1000="PS")*(F$2:F$1000=GZ8)*ISNUMBER(SEARCH("prioritization",LOWER(Z$2:Z$1000)))*ISNUMBER(SEARCH(LOWER("model"),LOWER(AB$2:AB$1000))))</f>
        <v>0</v>
      </c>
      <c r="HH8" cm="1">
        <f t="array" ref="HH8">SUMPRODUCT((Y$2:Y$1000="PS")*(F$2:F$1000=GZ8)*ISNUMBER(SEARCH("prioritization",LOWER(Z$2:Z$1000)))*ISNUMBER(SEARCH(LOWER(HH$2),LOWER(AB$2:AB$1000))))</f>
        <v>0</v>
      </c>
      <c r="HI8" cm="1">
        <f t="array" ref="HI8">SUMPRODUCT((Y$2:Y$1000="PS")*(F$2:F$1000=GZ8)*ISNUMBER(SEARCH("prioritization",LOWER(Z$2:Z$1000)))*ISNUMBER(SEARCH(LOWER("quantum"),LOWER(AB$2:AB$1000))))</f>
        <v>0</v>
      </c>
      <c r="HJ8" cm="1">
        <f t="array" ref="HJ8">SUMPRODUCT((Y$2:Y$1000="PS")*(F$2:F$1000=GZ8)*ISNUMBER(SEARCH("prioritization",LOWER(Z$2:Z$1000)))*ISNUMBER(SEARCH(LOWER("genetic"),LOWER(AB$2:AB$1000))))</f>
        <v>0</v>
      </c>
      <c r="HK8" cm="1">
        <f t="array" ref="HK8">SUMPRODUCT((Y$2:Y$1000="PS")*(F$2:F$1000=GZ8)*ISNUMBER(SEARCH("prioritization",LOWER(Z$2:Z$1000)))*ISNUMBER(SEARCH(LOWER("graph"),LOWER(AB$2:AB$1000))))</f>
        <v>3</v>
      </c>
      <c r="HL8" cm="1">
        <f t="array" ref="HL8">SUMPRODUCT((Y$2:Y$1000="PS")*(F$2:F$1000=GZ8)*ISNUMBER(SEARCH("prioritization",LOWER(Z$2:Z$1000)))*ISNUMBER(SEARCH(LOWER("greedy"),LOWER(AB$2:AB$1000))))</f>
        <v>0</v>
      </c>
      <c r="HM8" cm="1">
        <f t="array" ref="HM8">SUMPRODUCT((Y$2:Y$1000="PS")*(F$2:F$1000=GZ8)*ISNUMBER(SEARCH("prioritization",LOWER(Z$2:Z$1000)))*ISNUMBER(SEARCH(LOWER("dynamic"),LOWER(AB$2:AB$1000))))</f>
        <v>0</v>
      </c>
    </row>
    <row r="9" spans="1:221" ht="409.6">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207</v>
      </c>
      <c r="AC9" s="2" t="s">
        <v>143</v>
      </c>
      <c r="AD9" s="2" t="s">
        <v>144</v>
      </c>
      <c r="AE9" s="2" t="s">
        <v>145</v>
      </c>
      <c r="AF9" s="2" t="s">
        <v>65</v>
      </c>
      <c r="AG9" s="2" t="s">
        <v>146</v>
      </c>
      <c r="AH9" s="2">
        <v>0.5</v>
      </c>
      <c r="AI9" s="36" t="s">
        <v>1373</v>
      </c>
      <c r="AK9">
        <f t="shared" si="5"/>
        <v>1</v>
      </c>
      <c r="AL9">
        <f t="shared" si="0"/>
        <v>0</v>
      </c>
      <c r="AM9">
        <f t="shared" si="1"/>
        <v>0</v>
      </c>
      <c r="AN9">
        <f t="shared" si="2"/>
        <v>1</v>
      </c>
      <c r="AP9">
        <v>2019</v>
      </c>
      <c r="AQ9">
        <f t="shared" si="8"/>
        <v>13</v>
      </c>
      <c r="AR9">
        <f t="shared" si="3"/>
        <v>0</v>
      </c>
      <c r="AS9">
        <f t="shared" si="6"/>
        <v>2</v>
      </c>
      <c r="AT9">
        <f t="shared" si="4"/>
        <v>12</v>
      </c>
      <c r="AY9" t="s">
        <v>60</v>
      </c>
      <c r="AZ9" cm="1">
        <f t="array" ref="AZ9">SUMPRODUCT(($Y$2:$Y$1000="PS")*(ISNUMBER(FIND(UPPER("prioritization"),UPPER($Z$2:$Z$1000))))*(ISNUMBER(FIND(UPPER("model"),UPPER($AA$2:$AA$1000))))*((ISNUMBER(FIND(UPPER("heuristic"),UPPER($AB$2:$AB$1000))))*(NOT(ISNUMBER(FIND(UPPER("meta"),UPPER($AB$2:$AB$1000)))))))</f>
        <v>2</v>
      </c>
      <c r="BA9" cm="1">
        <f t="array" ref="BA9">SUMPRODUCT(($Y$2:$Y$1000="PS")*(ISNUMBER(FIND(UPPER("prioritization"),UPPER($Z$2:$Z$1000))))*(ISNUMBER(FIND(UPPER("model"),UPPER($AA$2:$AA$1000))))*((ISNUMBER(FIND(UPPER("metaheuristic"),UPPER($AB$2:$AB$1000))))+(ISNUMBER(FIND(UPPER("meta-heuristic"),UPPER($AB$2:$AB$1000))))))</f>
        <v>2</v>
      </c>
      <c r="BB9" cm="1">
        <f t="array" ref="BB9">SUMPRODUCT(($Y$2:$Y$1000="PS")*(ISNUMBER(FIND(UPPER("prioritization"),UPPER($Z$2:$Z$1000))))*(ISNUMBER(FIND(UPPER("model"),UPPER($AA$2:$AA$1000))))*(ISNUMBER(FIND(UPPER("graph"),UPPER($AB$2:$AB$1000)))))</f>
        <v>2</v>
      </c>
      <c r="BC9" cm="1">
        <f t="array" ref="BC9">SUMPRODUCT(($Y$2:$Y$1000="PS")*(ISNUMBER(FIND(UPPER("prioritization"),UPPER($Z$2:$Z$1000))))*(ISNUMBER(FIND(UPPER("model"),UPPER($AA$2:$AA$1000))))*(ISNUMBER(FIND(UPPER("dynamic programming"),UPPER($AB$2:$AB$1000)))))</f>
        <v>0</v>
      </c>
      <c r="BD9" cm="1">
        <f t="array" ref="BD9">SUMPRODUCT(($Y$2:$Y$1000="PS")*(ISNUMBER(FIND(UPPER("prioritization"),UPPER($Z$2:$Z$1000))))*(ISNUMBER(FIND(UPPER("model"),UPPER($AA$2:$AA$1000))))*(ISNUMBER(FIND(UPPER("ml-based"),UPPER($AB$2:$AB$1000)))))</f>
        <v>0</v>
      </c>
      <c r="BE9" cm="1">
        <f t="array" ref="BE9">SUMPRODUCT(($Y$2:$Y$1000="PS")*(ISNUMBER(FIND(UPPER("prioritization"),UPPER($Z$2:$Z$1000))))*(ISNUMBER(FIND(UPPER("model"),UPPER($AA$2:$AA$1000))))*(ISNUMBER(FIND(UPPER("greedy"),UPPER($AB$2:$AB$1000)))))</f>
        <v>1</v>
      </c>
      <c r="BH9" t="s">
        <v>1332</v>
      </c>
      <c r="BI9" cm="1">
        <f t="array" ref="BI9">SUMPRODUCT(($Y$2:$Y$1000="PS")*(ISNUMBER(FIND(UPPER("selection"),UPPER($Z$2:$Z$1000))))*(ISNUMBER(FIND(UPPER("path"),UPPER($AA$2:$AA$1000))))*((ISNUMBER(FIND(UPPER("heuristic"),UPPER($AB$2:$AB$1000))))*(NOT(ISNUMBER(FIND(UPPER("meta"),UPPER($AB$2:$AB$1000)))))))</f>
        <v>0</v>
      </c>
      <c r="BJ9" cm="1">
        <f t="array" ref="BJ9">SUMPRODUCT(($Y$2:$Y$1000="PS")*(ISNUMBER(FIND(UPPER("selection"),UPPER($Z$2:$Z$1000))))*(ISNUMBER(FIND(UPPER("path"),UPPER($AA$2:$AA$1000))))*((ISNUMBER(FIND(UPPER("metaheuristic"),UPPER($AB$2:$AB$1000))))+(ISNUMBER(FIND(UPPER("meta-heuristic"),UPPER($AB$2:$AB$1000))))))</f>
        <v>0</v>
      </c>
      <c r="BK9" cm="1">
        <f t="array" ref="BK9">SUMPRODUCT(($Y$2:$Y$1000="PS")*(ISNUMBER(FIND(UPPER("selection"),UPPER($Z$2:$Z$1000))))*(ISNUMBER(FIND(UPPER("path"),UPPER($AA$2:$AA$1000))))*(ISNUMBER(FIND(UPPER("graph"),UPPER($AB$2:$AB$1000)))))</f>
        <v>0</v>
      </c>
      <c r="BL9" cm="1">
        <f t="array" ref="BL9">SUMPRODUCT(($Y$2:$Y$1000="PS")*(ISNUMBER(FIND(UPPER("selection"),UPPER($Z$2:$Z$1000))))*(ISNUMBER(FIND(UPPER("path"),UPPER($AA$2:$AA$1000))))*(ISNUMBER(FIND(UPPER("dynamic programming"),UPPER($AB$2:$AB$1000)))))</f>
        <v>0</v>
      </c>
      <c r="BM9" cm="1">
        <f t="array" ref="BM9">SUMPRODUCT(($Y$2:$Y$1000="PS")*(ISNUMBER(FIND(UPPER("selection"),UPPER($Z$2:$Z$1000))))*(ISNUMBER(FIND(UPPER("path"),UPPER($AA$2:$AA$1000))))*(ISNUMBER(FIND(UPPER("ml-based"),UPPER($AB$2:$AB$1000)))))</f>
        <v>0</v>
      </c>
      <c r="BN9" cm="1">
        <f t="array" ref="BN9">SUMPRODUCT(($Y$2:$Y$1000="PS")*(ISNUMBER(FIND(UPPER("selection"),UPPER($Z$2:$Z$1000))))*(ISNUMBER(FIND(UPPER("path"),UPPER($AA$2:$AA$1000))))*(ISNUMBER(FIND(UPPER("greedy"),UPPER($AB$2:$AB$1000)))))</f>
        <v>0</v>
      </c>
      <c r="BX9" t="s">
        <v>60</v>
      </c>
      <c r="BY9">
        <v>6</v>
      </c>
      <c r="CD9">
        <v>1</v>
      </c>
      <c r="CE9">
        <v>1</v>
      </c>
      <c r="CG9" t="s">
        <v>1332</v>
      </c>
      <c r="CN9">
        <v>2019</v>
      </c>
      <c r="CO9" cm="1">
        <f t="array" ref="CO9">SUMPRODUCT((Y$2:Y$1000="PS")*(F$2:F$1000=$CN9)*(AH$2:AH$1000=0))</f>
        <v>8</v>
      </c>
      <c r="CP9" cm="1">
        <f t="array" ref="CP9">SUMPRODUCT((Y$2:Y$1000="PS")*(F$2:F$1000=$CN9)*(AH$2:AH$1000=0.5))</f>
        <v>4</v>
      </c>
      <c r="CQ9" cm="1">
        <f t="array" ref="CQ9">SUMPRODUCT((Y$2:Y$1000="PS")*(F$2:F$1000=$CN9)*(AH$2:AH$1000=1))</f>
        <v>1</v>
      </c>
      <c r="CZ9" s="34"/>
      <c r="DF9" s="34"/>
      <c r="DH9" s="34"/>
      <c r="DI9" s="34"/>
      <c r="FQ9" t="s">
        <v>1275</v>
      </c>
      <c r="FR9" s="35" cm="1">
        <f t="array" ref="FR9">SUMPRODUCT((Y$2:Y$1000="PS")*ISNUMBER(SEARCH(LOWER(FQ9),LOWER(AA$2:AA$1000)))*ISNUMBER(SEARCH("prioritization",LOWER(Z$2:Z$1000))))</f>
        <v>7</v>
      </c>
      <c r="FV9">
        <v>2019</v>
      </c>
      <c r="FW9" s="35" cm="1">
        <f t="array" ref="FW9">SUMPRODUCT((Y$2:Y$1000="PS")*(F$2:F$1000=FV9)*ISNUMBER(SEARCH("prioritization",LOWER(Z$2:Z$1000)))*ISNUMBER(SEARCH("coverage",LOWER(AA$2:AA$1000))))</f>
        <v>8</v>
      </c>
      <c r="FX9" s="35" cm="1">
        <f t="array" ref="FX9">SUMPRODUCT((Y$2:Y$1000="PS")*(F$2:F$1000=FV9)*ISNUMBER(SEARCH("prioritization",LOWER(Z$2:Z$1000)))*ISNUMBER(SEARCH("requirement",LOWER(AA$2:AA$1000))))</f>
        <v>2</v>
      </c>
      <c r="FY9" s="35" cm="1">
        <f t="array" ref="FY9">SUMPRODUCT((Y$2:Y$1000="PS")*(F$2:F$1000=FV9)*ISNUMBER(SEARCH("prioritization",LOWER(Z$2:Z$1000)))*ISNUMBER(SEARCH("probab",LOWER(AA$2:AA$1000))))</f>
        <v>0</v>
      </c>
      <c r="FZ9" s="35" cm="1">
        <f t="array" ref="FZ9">SUMPRODUCT((Y$2:Y$1000="PS")*(F$2:F$1000=FV9)*ISNUMBER(SEARCH("prioritization",LOWER(Z$2:Z$1000)))*ISNUMBER(SEARCH("distribution",LOWER(AA$2:AA$1000))))</f>
        <v>0</v>
      </c>
      <c r="GA9" s="35" cm="1">
        <f t="array" ref="GA9">SUMPRODUCT((Y$2:Y$1000="PS")*(F$2:F$1000=FV9)*ISNUMBER(SEARCH("prioritization",LOWER(Z$2:Z$1000)))*ISNUMBER(SEARCH("clustering",LOWER(AA$2:AA$1000))))</f>
        <v>0</v>
      </c>
      <c r="GB9" s="35" cm="1">
        <f t="array" ref="GB9">SUMPRODUCT((Y$2:Y$1000="PS")*(F$2:F$1000=FV9)*ISNUMBER(SEARCH("prioritization",LOWER(Z$2:Z$1000)))*ISNUMBER(SEARCH("history",LOWER(AA$2:AA$1000))))</f>
        <v>0</v>
      </c>
      <c r="GC9" s="35" cm="1">
        <f t="array" ref="GC9">SUMPRODUCT((Y$2:Y$1000="PS")*(F$2:F$1000=FV9)*ISNUMBER(SEARCH("prioritization",LOWER(Z$2:Z$1000)))*ISNUMBER(SEARCH("model",LOWER(AA$2:AA$1000))))</f>
        <v>1</v>
      </c>
      <c r="GD9" s="35" cm="1">
        <f t="array" ref="GD9">SUMPRODUCT((Y$2:Y$1000="PS")*(F$2:F$1000=FV9)*ISNUMBER(SEARCH("prioritization",LOWER(Z$2:Z$1000)))*ISNUMBER(SEARCH("cost-aware",LOWER(AA$2:AA$1000))))</f>
        <v>0</v>
      </c>
      <c r="GE9" s="35" cm="1">
        <f t="array" ref="GE9">SUMPRODUCT((Y$2:Y$1000="PS")*(F$2:F$1000=FV9)*ISNUMBER(SEARCH("prioritization",LOWER(Z$2:Z$1000)))*ISNUMBER(SEARCH("similarity",LOWER(AA$2:AA$1000))))</f>
        <v>0</v>
      </c>
      <c r="GF9" s="35" cm="1">
        <f t="array" ref="GF9">SUMPRODUCT((Y$2:Y$1000="PS")*(F$2:F$1000=FV9)*ISNUMBER(SEARCH("prioritization",LOWER(Z$2:Z$1000)))*ISNUMBER(SEARCH("input",LOWER(AA$2:AA$1000))))</f>
        <v>0</v>
      </c>
      <c r="GG9" s="35" cm="1">
        <f t="array" ref="GG9">SUMPRODUCT((Y$2:Y$1000="PS")*(F$2:F$1000=FV9)*ISNUMBER(SEARCH("prioritization",LOWER(Z$2:Z$1000)))*ISNUMBER(SEARCH("structure",LOWER(AA$2:AA$1000))))</f>
        <v>0</v>
      </c>
      <c r="GH9" s="35" cm="1">
        <f t="array" ref="GH9">SUMPRODUCT((Y$2:Y$1000="PS")*(F$2:F$1000=FV9)*ISNUMBER(SEARCH("prioritization",LOWER(Z$2:Z$1000)))*ISNUMBER(SEARCH("change",LOWER(AA$2:AA$1000))))</f>
        <v>0</v>
      </c>
      <c r="GI9" s="35" cm="1">
        <f t="array" ref="GI9">SUMPRODUCT((Y$2:Y$1000="PS")*(F$2:F$1000=FV9)*ISNUMBER(SEARCH("prioritization",LOWER(Z$2:Z$1000)))*ISNUMBER(SEARCH("ml",LOWER(AA$2:AA$1000))))</f>
        <v>0</v>
      </c>
      <c r="GJ9" s="35" cm="1">
        <f t="array" ref="GJ9">SUMPRODUCT((Y$2:Y$1000="PS")*(F$2:F$1000=FV9)*ISNUMBER(SEARCH("prioritization",LOWER(Z$2:Z$1000)))*ISNUMBER(SEARCH("heuristic",LOWER(AA$2:AA$1000))))</f>
        <v>0</v>
      </c>
      <c r="GK9" s="35" cm="1">
        <f t="array" ref="GK9">SUMPRODUCT((Y$2:Y$1000="PS")*(F$2:F$1000=FV9)*ISNUMBER(SEARCH("prioritization",LOWER(Z$2:Z$1000)))*ISNUMBER(SEARCH("search",LOWER(AA$2:AA$1000))))</f>
        <v>0</v>
      </c>
      <c r="GL9" s="35" cm="1">
        <f t="array" ref="GL9">SUMPRODUCT((Y$2:Y$1000="PS")*(F$2:F$1000=FV9)*ISNUMBER(SEARCH("prioritization",LOWER(Z$2:Z$1000)))*ISNUMBER(SEARCH("transfer",LOWER(AA$2:AA$1000))))</f>
        <v>0</v>
      </c>
      <c r="GM9" s="35" cm="1">
        <f t="array" ref="GM9">SUMPRODUCT((Y$2:Y$1000="PS")*(F$2:F$1000=FV9)*ISNUMBER(SEARCH("prioritization",LOWER(Z$2:Z$1000)))*ISNUMBER(SEARCH("riski",LOWER(AA$2:AA$1000))))</f>
        <v>0</v>
      </c>
      <c r="GN9" s="35" cm="1">
        <f t="array" ref="GN9">SUMPRODUCT((Y$2:Y$1000="PS")*(F$2:F$1000=FV9)*ISNUMBER(SEARCH("prioritization",LOWER(Z$2:Z$1000)))*ISNUMBER(SEARCH("nlp",LOWER(AA$2:AA$1000))))</f>
        <v>0</v>
      </c>
      <c r="GO9" s="35" cm="1">
        <f t="array" ref="GO9">SUMPRODUCT((Y$2:Y$1000="PS")*(F$2:F$1000=FV9)*ISNUMBER(SEARCH("prioritization",LOWER(Z$2:Z$1000)))*ISNUMBER(SEARCH("design",LOWER(AA$2:AA$1000))))</f>
        <v>0</v>
      </c>
      <c r="GP9" s="35" cm="1">
        <f t="array" ref="GP9">SUMPRODUCT((Y$2:Y$1000="PS")*(F$2:F$1000=FV9)*ISNUMBER(SEARCH("prioritization",LOWER(Z$2:Z$1000)))*ISNUMBER(SEARCH("other",LOWER(AA$2:AA$1000))))</f>
        <v>1</v>
      </c>
      <c r="GQ9">
        <f t="shared" si="7"/>
        <v>0</v>
      </c>
      <c r="GZ9">
        <v>2019</v>
      </c>
      <c r="HA9" cm="1">
        <f t="array" ref="HA9">SUMPRODUCT((Y$2:Y$1000="PS")*(F$2:F$1000=GZ9)*ISNUMBER(SEARCH("prioritization",LOWER(Z$2:Z$1000)))*ISNUMBER(SEARCH(LOWER("metaheuristic"),LOWER(AB$2:AB$1000))))</f>
        <v>0</v>
      </c>
      <c r="HB9" cm="1">
        <f t="array" ref="HB9">SUMPRODUCT((Y$2:Y$1000="PS")*(F$2:F$1000=GZ9)*ISNUMBER(SEARCH("prioritization",LOWER(Z$2:Z$1000)))*ISNUMBER(SEARCH(LOWER("search"),LOWER(AB$2:AB$1000))))</f>
        <v>0</v>
      </c>
      <c r="HC9" cm="1">
        <f t="array" ref="HC9">SUMPRODUCT((Y$2:Y$1000="PS")*(F$2:F$1000=GZ9)*ISNUMBER(SEARCH("prioritization",LOWER(Z$2:Z$1000)))*ISNUMBER(SEARCH(LOWER("heuristic"),LOWER(AB$2:AB$1000))))</f>
        <v>6</v>
      </c>
      <c r="HD9" cm="1">
        <f t="array" ref="HD9">SUMPRODUCT((Y$2:Y$1000="PS")*(F$2:F$1000=GZ9)*ISNUMBER(SEARCH("prioritization",LOWER(Z$2:Z$1000)))*ISNUMBER(SEARCH(LOWER("ml"),LOWER(AB$2:AB$1000))))</f>
        <v>0</v>
      </c>
      <c r="HE9" cm="1">
        <f t="array" ref="HE9">SUMPRODUCT((Y$2:Y$1000="PS")*(F$2:F$1000=GZ9)*ISNUMBER(SEARCH("prioritization",LOWER(Z$2:Z$1000)))*ISNUMBER(SEARCH(LOWER("rule"),LOWER(AB$2:AB$1000))))</f>
        <v>0</v>
      </c>
      <c r="HF9" cm="1">
        <f t="array" ref="HF9">SUMPRODUCT((Y$2:Y$1000="PS")*(F$2:F$1000=GZ9)*ISNUMBER(SEARCH("prioritization",LOWER(Z$2:Z$1000)))*ISNUMBER(SEARCH(LOWER(HF$2),LOWER(AB$2:AB$1000))))</f>
        <v>0</v>
      </c>
      <c r="HG9" cm="1">
        <f t="array" ref="HG9">SUMPRODUCT((Y$2:Y$1000="PS")*(F$2:F$1000=GZ9)*ISNUMBER(SEARCH("prioritization",LOWER(Z$2:Z$1000)))*ISNUMBER(SEARCH(LOWER("model"),LOWER(AB$2:AB$1000))))</f>
        <v>0</v>
      </c>
      <c r="HH9" cm="1">
        <f t="array" ref="HH9">SUMPRODUCT((Y$2:Y$1000="PS")*(F$2:F$1000=GZ9)*ISNUMBER(SEARCH("prioritization",LOWER(Z$2:Z$1000)))*ISNUMBER(SEARCH(LOWER(HH$2),LOWER(AB$2:AB$1000))))</f>
        <v>0</v>
      </c>
      <c r="HI9" cm="1">
        <f t="array" ref="HI9">SUMPRODUCT((Y$2:Y$1000="PS")*(F$2:F$1000=GZ9)*ISNUMBER(SEARCH("prioritization",LOWER(Z$2:Z$1000)))*ISNUMBER(SEARCH(LOWER("quantum"),LOWER(AB$2:AB$1000))))</f>
        <v>0</v>
      </c>
      <c r="HJ9" cm="1">
        <f t="array" ref="HJ9">SUMPRODUCT((Y$2:Y$1000="PS")*(F$2:F$1000=GZ9)*ISNUMBER(SEARCH("prioritization",LOWER(Z$2:Z$1000)))*ISNUMBER(SEARCH(LOWER("genetic"),LOWER(AB$2:AB$1000))))</f>
        <v>0</v>
      </c>
      <c r="HK9" cm="1">
        <f t="array" ref="HK9">SUMPRODUCT((Y$2:Y$1000="PS")*(F$2:F$1000=GZ9)*ISNUMBER(SEARCH("prioritization",LOWER(Z$2:Z$1000)))*ISNUMBER(SEARCH(LOWER("graph"),LOWER(AB$2:AB$1000))))</f>
        <v>1</v>
      </c>
      <c r="HL9" cm="1">
        <f t="array" ref="HL9">SUMPRODUCT((Y$2:Y$1000="PS")*(F$2:F$1000=GZ9)*ISNUMBER(SEARCH("prioritization",LOWER(Z$2:Z$1000)))*ISNUMBER(SEARCH(LOWER("greedy"),LOWER(AB$2:AB$1000))))</f>
        <v>5</v>
      </c>
      <c r="HM9" cm="1">
        <f t="array" ref="HM9">SUMPRODUCT((Y$2:Y$1000="PS")*(F$2:F$1000=GZ9)*ISNUMBER(SEARCH("prioritization",LOWER(Z$2:Z$1000)))*ISNUMBER(SEARCH(LOWER("dynamic"),LOWER(AB$2:AB$1000))))</f>
        <v>1</v>
      </c>
    </row>
    <row r="10" spans="1:221" ht="409.6">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5"/>
        <v>1</v>
      </c>
      <c r="AL10">
        <f t="shared" si="0"/>
        <v>0</v>
      </c>
      <c r="AM10">
        <f t="shared" si="1"/>
        <v>0</v>
      </c>
      <c r="AN10">
        <f t="shared" si="2"/>
        <v>1</v>
      </c>
      <c r="AP10">
        <v>2020</v>
      </c>
      <c r="AQ10">
        <f t="shared" si="8"/>
        <v>7</v>
      </c>
      <c r="AR10">
        <f t="shared" si="3"/>
        <v>0</v>
      </c>
      <c r="AS10">
        <f t="shared" si="6"/>
        <v>1</v>
      </c>
      <c r="AT10">
        <f t="shared" si="4"/>
        <v>6</v>
      </c>
      <c r="AY10" t="s">
        <v>1321</v>
      </c>
      <c r="AZ10" cm="1">
        <f t="array" ref="AZ10">SUMPRODUCT(($Y$2:$Y$1000="PS")*(ISNUMBER(FIND(UPPER("prioritization"),UPPER($Z$2:$Z$1000))))*(ISNUMBER(FIND(UPPER("cost"),UPPER($AA$2:$AA$1000))))*((ISNUMBER(FIND(UPPER("heuristic"),UPPER($AB$2:$AB$1000))))*(NOT(ISNUMBER(FIND(UPPER("meta"),UPPER($AB$2:$AB$1000)))))))</f>
        <v>2</v>
      </c>
      <c r="BA10" cm="1">
        <f t="array" ref="BA10">SUMPRODUCT(($Y$2:$Y$1000="PS")*(ISNUMBER(FIND(UPPER("prioritization"),UPPER($Z$2:$Z$1000))))*(ISNUMBER(FIND(UPPER("cost"),UPPER($AA$2:$AA$1000))))*((ISNUMBER(FIND(UPPER("metaheuristic"),UPPER($AB$2:$AB$1000))))+(ISNUMBER(FIND(UPPER("meta-heuristic"),UPPER($AB$2:$AB$1000))))))</f>
        <v>2</v>
      </c>
      <c r="BB10" cm="1">
        <f t="array" ref="BB10">SUMPRODUCT(($Y$2:$Y$1000="PS")*(ISNUMBER(FIND(UPPER("prioritization"),UPPER($Z$2:$Z$1000))))*(ISNUMBER(FIND(UPPER("cost"),UPPER($AA$2:$AA$1000))))*(ISNUMBER(FIND(UPPER("graph"),UPPER($AB$2:$AB$1000)))))</f>
        <v>1</v>
      </c>
      <c r="BC10" cm="1">
        <f t="array" ref="BC10">SUMPRODUCT(($Y$2:$Y$1000="PS")*(ISNUMBER(FIND(UPPER("prioritization"),UPPER($Z$2:$Z$1000))))*(ISNUMBER(FIND(UPPER("cost"),UPPER($AA$2:$AA$1000))))*(ISNUMBER(FIND(UPPER("dynamic programming"),UPPER($AB$2:$AB$1000)))))</f>
        <v>0</v>
      </c>
      <c r="BD10" cm="1">
        <f t="array" ref="BD10">SUMPRODUCT(($Y$2:$Y$1000="PS")*(ISNUMBER(FIND(UPPER("prioritization"),UPPER($Z$2:$Z$1000))))*(ISNUMBER(FIND(UPPER("cost"),UPPER($AA$2:$AA$1000))))*(ISNUMBER(FIND(UPPER("ml-based"),UPPER($AB$2:$AB$1000)))))</f>
        <v>1</v>
      </c>
      <c r="BE10" cm="1">
        <f t="array" ref="BE10">SUMPRODUCT(($Y$2:$Y$1000="PS")*(ISNUMBER(FIND(UPPER("prioritization"),UPPER($Z$2:$Z$1000))))*(ISNUMBER(FIND(UPPER("cost"),UPPER($AA$2:$AA$1000))))*(ISNUMBER(FIND(UPPER("greedy"),UPPER($AB$2:$AB$1000)))))</f>
        <v>0</v>
      </c>
      <c r="BH10" t="s">
        <v>129</v>
      </c>
      <c r="BI10" cm="1">
        <f t="array" ref="BI10">SUMPRODUCT(($Y$2:$Y$1000="PS")*(ISNUMBER(FIND(UPPER("selection"),UPPER($Z$2:$Z$1000))))*(ISNUMBER(FIND(UPPER("modification"),UPPER($AA$2:$AA$1000))))*((ISNUMBER(FIND(UPPER("heuristic"),UPPER($AB$2:$AB$1000))))*(NOT(ISNUMBER(FIND(UPPER("meta"),UPPER($AB$2:$AB$1000)))))))</f>
        <v>2</v>
      </c>
      <c r="BJ10" cm="1">
        <f t="array" ref="BJ10">SUMPRODUCT(($Y$2:$Y$1000="PS")*(ISNUMBER(FIND(UPPER("selection"),UPPER($Z$2:$Z$1000))))*(ISNUMBER(FIND(UPPER("modification"),UPPER($AA$2:$AA$1000))))*((ISNUMBER(FIND(UPPER("metaheuristic"),UPPER($AB$2:$AB$1000))))+(ISNUMBER(FIND(UPPER("meta-heuristic"),UPPER($AB$2:$AB$1000))))))</f>
        <v>1</v>
      </c>
      <c r="BK10" cm="1">
        <f t="array" ref="BK10">SUMPRODUCT(($Y$2:$Y$1000="PS")*(ISNUMBER(FIND(UPPER("selection"),UPPER($Z$2:$Z$1000))))*(ISNUMBER(FIND(UPPER("modification"),UPPER($AA$2:$AA$1000))))*(ISNUMBER(FIND(UPPER("graph"),UPPER($AB$2:$AB$1000)))))</f>
        <v>0</v>
      </c>
      <c r="BL10" cm="1">
        <f t="array" ref="BL10">SUMPRODUCT(($Y$2:$Y$1000="PS")*(ISNUMBER(FIND(UPPER("selection"),UPPER($Z$2:$Z$1000))))*(ISNUMBER(FIND(UPPER("modification"),UPPER($AA$2:$AA$1000))))*(ISNUMBER(FIND(UPPER("dynamic programming"),UPPER($AB$2:$AB$1000)))))</f>
        <v>0</v>
      </c>
      <c r="BM10" cm="1">
        <f t="array" ref="BM10">SUMPRODUCT(($Y$2:$Y$1000="PS")*(ISNUMBER(FIND(UPPER("selection"),UPPER($Z$2:$Z$1000))))*(ISNUMBER(FIND(UPPER("modification"),UPPER($AA$2:$AA$1000))))*(ISNUMBER(FIND(UPPER("ml-based"),UPPER($AB$2:$AB$1000)))))</f>
        <v>1</v>
      </c>
      <c r="BN10" cm="1">
        <f t="array" ref="BN10">SUMPRODUCT(($Y$2:$Y$1000="PS")*(ISNUMBER(FIND(UPPER("selection"),UPPER($Z$2:$Z$1000))))*(ISNUMBER(FIND(UPPER("modification"),UPPER($AA$2:$AA$1000))))*(ISNUMBER(FIND(UPPER("greedy"),UPPER($AB$2:$AB$1000)))))</f>
        <v>1</v>
      </c>
      <c r="BX10" t="s">
        <v>1321</v>
      </c>
      <c r="BY10">
        <v>4</v>
      </c>
      <c r="BZ10">
        <v>1</v>
      </c>
      <c r="CA10">
        <v>1</v>
      </c>
      <c r="CB10">
        <v>2</v>
      </c>
      <c r="CC10">
        <v>1</v>
      </c>
      <c r="CD10">
        <v>2</v>
      </c>
      <c r="CE10">
        <v>1</v>
      </c>
      <c r="CG10" t="s">
        <v>129</v>
      </c>
      <c r="CH10">
        <v>1</v>
      </c>
      <c r="CI10">
        <v>1</v>
      </c>
      <c r="CK10">
        <v>1</v>
      </c>
      <c r="CL10">
        <v>1</v>
      </c>
      <c r="CN10">
        <v>2020</v>
      </c>
      <c r="CO10" cm="1">
        <f t="array" ref="CO10">SUMPRODUCT((Y$2:Y$1000="PS")*(F$2:F$1000=$CN10)*(AH$2:AH$1000=0))</f>
        <v>4</v>
      </c>
      <c r="CP10" cm="1">
        <f t="array" ref="CP10">SUMPRODUCT((Y$2:Y$1000="PS")*(F$2:F$1000=$CN10)*(AH$2:AH$1000=0.5))</f>
        <v>0</v>
      </c>
      <c r="CQ10" cm="1">
        <f t="array" ref="CQ10">SUMPRODUCT((Y$2:Y$1000="PS")*(F$2:F$1000=$CN10)*(AH$2:AH$1000=1))</f>
        <v>3</v>
      </c>
      <c r="CZ10" s="34"/>
      <c r="DH10" s="34"/>
      <c r="DI10" s="34"/>
      <c r="DT10" s="34"/>
      <c r="FQ10" t="s">
        <v>1276</v>
      </c>
      <c r="FR10" s="35" cm="1">
        <f t="array" ref="FR10">SUMPRODUCT((Y$2:Y$1000="PS")*ISNUMBER(SEARCH(LOWER(FQ10),LOWER(AA$2:AA$1000)))*ISNUMBER(SEARCH("prioritization",LOWER(Z$2:Z$1000))))</f>
        <v>5</v>
      </c>
      <c r="FV10">
        <v>2020</v>
      </c>
      <c r="FW10" s="35" cm="1">
        <f t="array" ref="FW10">SUMPRODUCT((Y$2:Y$1000="PS")*(F$2:F$1000=FV10)*ISNUMBER(SEARCH("prioritization",LOWER(Z$2:Z$1000)))*ISNUMBER(SEARCH("coverage",LOWER(AA$2:AA$1000))))</f>
        <v>4</v>
      </c>
      <c r="FX10" s="35" cm="1">
        <f t="array" ref="FX10">SUMPRODUCT((Y$2:Y$1000="PS")*(F$2:F$1000=FV10)*ISNUMBER(SEARCH("prioritization",LOWER(Z$2:Z$1000)))*ISNUMBER(SEARCH("requirement",LOWER(AA$2:AA$1000))))</f>
        <v>0</v>
      </c>
      <c r="FY10" s="35" cm="1">
        <f t="array" ref="FY10">SUMPRODUCT((Y$2:Y$1000="PS")*(F$2:F$1000=FV10)*ISNUMBER(SEARCH("prioritization",LOWER(Z$2:Z$1000)))*ISNUMBER(SEARCH("probab",LOWER(AA$2:AA$1000))))</f>
        <v>1</v>
      </c>
      <c r="FZ10" s="35" cm="1">
        <f t="array" ref="FZ10">SUMPRODUCT((Y$2:Y$1000="PS")*(F$2:F$1000=FV10)*ISNUMBER(SEARCH("prioritization",LOWER(Z$2:Z$1000)))*ISNUMBER(SEARCH("distribution",LOWER(AA$2:AA$1000))))</f>
        <v>0</v>
      </c>
      <c r="GA10" s="35" cm="1">
        <f t="array" ref="GA10">SUMPRODUCT((Y$2:Y$1000="PS")*(F$2:F$1000=FV10)*ISNUMBER(SEARCH("prioritization",LOWER(Z$2:Z$1000)))*ISNUMBER(SEARCH("clustering",LOWER(AA$2:AA$1000))))</f>
        <v>0</v>
      </c>
      <c r="GB10" s="35" cm="1">
        <f t="array" ref="GB10">SUMPRODUCT((Y$2:Y$1000="PS")*(F$2:F$1000=FV10)*ISNUMBER(SEARCH("prioritization",LOWER(Z$2:Z$1000)))*ISNUMBER(SEARCH("history",LOWER(AA$2:AA$1000))))</f>
        <v>0</v>
      </c>
      <c r="GC10" s="35" cm="1">
        <f t="array" ref="GC10">SUMPRODUCT((Y$2:Y$1000="PS")*(F$2:F$1000=FV10)*ISNUMBER(SEARCH("prioritization",LOWER(Z$2:Z$1000)))*ISNUMBER(SEARCH("model",LOWER(AA$2:AA$1000))))</f>
        <v>1</v>
      </c>
      <c r="GD10" s="35" cm="1">
        <f t="array" ref="GD10">SUMPRODUCT((Y$2:Y$1000="PS")*(F$2:F$1000=FV10)*ISNUMBER(SEARCH("prioritization",LOWER(Z$2:Z$1000)))*ISNUMBER(SEARCH("cost-aware",LOWER(AA$2:AA$1000))))</f>
        <v>0</v>
      </c>
      <c r="GE10" s="35" cm="1">
        <f t="array" ref="GE10">SUMPRODUCT((Y$2:Y$1000="PS")*(F$2:F$1000=FV10)*ISNUMBER(SEARCH("prioritization",LOWER(Z$2:Z$1000)))*ISNUMBER(SEARCH("similarity",LOWER(AA$2:AA$1000))))</f>
        <v>0</v>
      </c>
      <c r="GF10" s="35" cm="1">
        <f t="array" ref="GF10">SUMPRODUCT((Y$2:Y$1000="PS")*(F$2:F$1000=FV10)*ISNUMBER(SEARCH("prioritization",LOWER(Z$2:Z$1000)))*ISNUMBER(SEARCH("input",LOWER(AA$2:AA$1000))))</f>
        <v>0</v>
      </c>
      <c r="GG10" s="35" cm="1">
        <f t="array" ref="GG10">SUMPRODUCT((Y$2:Y$1000="PS")*(F$2:F$1000=FV10)*ISNUMBER(SEARCH("prioritization",LOWER(Z$2:Z$1000)))*ISNUMBER(SEARCH("structure",LOWER(AA$2:AA$1000))))</f>
        <v>0</v>
      </c>
      <c r="GH10" s="35" cm="1">
        <f t="array" ref="GH10">SUMPRODUCT((Y$2:Y$1000="PS")*(F$2:F$1000=FV10)*ISNUMBER(SEARCH("prioritization",LOWER(Z$2:Z$1000)))*ISNUMBER(SEARCH("change",LOWER(AA$2:AA$1000))))</f>
        <v>0</v>
      </c>
      <c r="GI10" s="35" cm="1">
        <f t="array" ref="GI10">SUMPRODUCT((Y$2:Y$1000="PS")*(F$2:F$1000=FV10)*ISNUMBER(SEARCH("prioritization",LOWER(Z$2:Z$1000)))*ISNUMBER(SEARCH("ml",LOWER(AA$2:AA$1000))))</f>
        <v>0</v>
      </c>
      <c r="GJ10" s="35" cm="1">
        <f t="array" ref="GJ10">SUMPRODUCT((Y$2:Y$1000="PS")*(F$2:F$1000=FV10)*ISNUMBER(SEARCH("prioritization",LOWER(Z$2:Z$1000)))*ISNUMBER(SEARCH("heuristic",LOWER(AA$2:AA$1000))))</f>
        <v>0</v>
      </c>
      <c r="GK10" s="35" cm="1">
        <f t="array" ref="GK10">SUMPRODUCT((Y$2:Y$1000="PS")*(F$2:F$1000=FV10)*ISNUMBER(SEARCH("prioritization",LOWER(Z$2:Z$1000)))*ISNUMBER(SEARCH("search",LOWER(AA$2:AA$1000))))</f>
        <v>0</v>
      </c>
      <c r="GL10" s="35" cm="1">
        <f t="array" ref="GL10">SUMPRODUCT((Y$2:Y$1000="PS")*(F$2:F$1000=FV10)*ISNUMBER(SEARCH("prioritization",LOWER(Z$2:Z$1000)))*ISNUMBER(SEARCH("transfer",LOWER(AA$2:AA$1000))))</f>
        <v>0</v>
      </c>
      <c r="GM10" s="35" cm="1">
        <f t="array" ref="GM10">SUMPRODUCT((Y$2:Y$1000="PS")*(F$2:F$1000=FV10)*ISNUMBER(SEARCH("prioritization",LOWER(Z$2:Z$1000)))*ISNUMBER(SEARCH("riski",LOWER(AA$2:AA$1000))))</f>
        <v>0</v>
      </c>
      <c r="GN10" s="35" cm="1">
        <f t="array" ref="GN10">SUMPRODUCT((Y$2:Y$1000="PS")*(F$2:F$1000=FV10)*ISNUMBER(SEARCH("prioritization",LOWER(Z$2:Z$1000)))*ISNUMBER(SEARCH("nlp",LOWER(AA$2:AA$1000))))</f>
        <v>0</v>
      </c>
      <c r="GO10" s="35" cm="1">
        <f t="array" ref="GO10">SUMPRODUCT((Y$2:Y$1000="PS")*(F$2:F$1000=FV10)*ISNUMBER(SEARCH("prioritization",LOWER(Z$2:Z$1000)))*ISNUMBER(SEARCH("design",LOWER(AA$2:AA$1000))))</f>
        <v>0</v>
      </c>
      <c r="GP10" s="35" cm="1">
        <f t="array" ref="GP10">SUMPRODUCT((Y$2:Y$1000="PS")*(F$2:F$1000=FV10)*ISNUMBER(SEARCH("prioritization",LOWER(Z$2:Z$1000)))*ISNUMBER(SEARCH("other",LOWER(AA$2:AA$1000))))</f>
        <v>1</v>
      </c>
      <c r="GQ10">
        <f t="shared" si="7"/>
        <v>0</v>
      </c>
      <c r="GZ10">
        <v>2020</v>
      </c>
      <c r="HA10" cm="1">
        <f t="array" ref="HA10">SUMPRODUCT((Y$2:Y$1000="PS")*(F$2:F$1000=GZ10)*ISNUMBER(SEARCH("prioritization",LOWER(Z$2:Z$1000)))*ISNUMBER(SEARCH(LOWER("metaheuristic"),LOWER(AB$2:AB$1000))))</f>
        <v>0</v>
      </c>
      <c r="HB10" cm="1">
        <f t="array" ref="HB10">SUMPRODUCT((Y$2:Y$1000="PS")*(F$2:F$1000=GZ10)*ISNUMBER(SEARCH("prioritization",LOWER(Z$2:Z$1000)))*ISNUMBER(SEARCH(LOWER("search"),LOWER(AB$2:AB$1000))))</f>
        <v>0</v>
      </c>
      <c r="HC10" cm="1">
        <f t="array" ref="HC10">SUMPRODUCT((Y$2:Y$1000="PS")*(F$2:F$1000=GZ10)*ISNUMBER(SEARCH("prioritization",LOWER(Z$2:Z$1000)))*ISNUMBER(SEARCH(LOWER("heuristic"),LOWER(AB$2:AB$1000))))</f>
        <v>2</v>
      </c>
      <c r="HD10" cm="1">
        <f t="array" ref="HD10">SUMPRODUCT((Y$2:Y$1000="PS")*(F$2:F$1000=GZ10)*ISNUMBER(SEARCH("prioritization",LOWER(Z$2:Z$1000)))*ISNUMBER(SEARCH(LOWER("ml"),LOWER(AB$2:AB$1000))))</f>
        <v>2</v>
      </c>
      <c r="HE10" cm="1">
        <f t="array" ref="HE10">SUMPRODUCT((Y$2:Y$1000="PS")*(F$2:F$1000=GZ10)*ISNUMBER(SEARCH("prioritization",LOWER(Z$2:Z$1000)))*ISNUMBER(SEARCH(LOWER("rule"),LOWER(AB$2:AB$1000))))</f>
        <v>0</v>
      </c>
      <c r="HF10" cm="1">
        <f t="array" ref="HF10">SUMPRODUCT((Y$2:Y$1000="PS")*(F$2:F$1000=GZ10)*ISNUMBER(SEARCH("prioritization",LOWER(Z$2:Z$1000)))*ISNUMBER(SEARCH(LOWER(HF$2),LOWER(AB$2:AB$1000))))</f>
        <v>0</v>
      </c>
      <c r="HG10" cm="1">
        <f t="array" ref="HG10">SUMPRODUCT((Y$2:Y$1000="PS")*(F$2:F$1000=GZ10)*ISNUMBER(SEARCH("prioritization",LOWER(Z$2:Z$1000)))*ISNUMBER(SEARCH(LOWER("model"),LOWER(AB$2:AB$1000))))</f>
        <v>0</v>
      </c>
      <c r="HH10" cm="1">
        <f t="array" ref="HH10">SUMPRODUCT((Y$2:Y$1000="PS")*(F$2:F$1000=GZ10)*ISNUMBER(SEARCH("prioritization",LOWER(Z$2:Z$1000)))*ISNUMBER(SEARCH(LOWER(HH$2),LOWER(AB$2:AB$1000))))</f>
        <v>0</v>
      </c>
      <c r="HI10" cm="1">
        <f t="array" ref="HI10">SUMPRODUCT((Y$2:Y$1000="PS")*(F$2:F$1000=GZ10)*ISNUMBER(SEARCH("prioritization",LOWER(Z$2:Z$1000)))*ISNUMBER(SEARCH(LOWER("quantum"),LOWER(AB$2:AB$1000))))</f>
        <v>0</v>
      </c>
      <c r="HJ10" cm="1">
        <f t="array" ref="HJ10">SUMPRODUCT((Y$2:Y$1000="PS")*(F$2:F$1000=GZ10)*ISNUMBER(SEARCH("prioritization",LOWER(Z$2:Z$1000)))*ISNUMBER(SEARCH(LOWER("genetic"),LOWER(AB$2:AB$1000))))</f>
        <v>0</v>
      </c>
      <c r="HK10" cm="1">
        <f t="array" ref="HK10">SUMPRODUCT((Y$2:Y$1000="PS")*(F$2:F$1000=GZ10)*ISNUMBER(SEARCH("prioritization",LOWER(Z$2:Z$1000)))*ISNUMBER(SEARCH(LOWER("graph"),LOWER(AB$2:AB$1000))))</f>
        <v>0</v>
      </c>
      <c r="HL10" cm="1">
        <f t="array" ref="HL10">SUMPRODUCT((Y$2:Y$1000="PS")*(F$2:F$1000=GZ10)*ISNUMBER(SEARCH("prioritization",LOWER(Z$2:Z$1000)))*ISNUMBER(SEARCH(LOWER("greedy"),LOWER(AB$2:AB$1000))))</f>
        <v>2</v>
      </c>
      <c r="HM10" cm="1">
        <f t="array" ref="HM10">SUMPRODUCT((Y$2:Y$1000="PS")*(F$2:F$1000=GZ10)*ISNUMBER(SEARCH("prioritization",LOWER(Z$2:Z$1000)))*ISNUMBER(SEARCH(LOWER("dynamic"),LOWER(AB$2:AB$1000))))</f>
        <v>0</v>
      </c>
    </row>
    <row r="11" spans="1:221" ht="409.6">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1356</v>
      </c>
      <c r="AB11" s="2" t="s">
        <v>91</v>
      </c>
      <c r="AC11" s="2" t="s">
        <v>62</v>
      </c>
      <c r="AD11" s="2" t="s">
        <v>170</v>
      </c>
      <c r="AE11" s="2" t="s">
        <v>171</v>
      </c>
      <c r="AF11" s="2" t="s">
        <v>172</v>
      </c>
      <c r="AG11" s="2" t="s">
        <v>66</v>
      </c>
      <c r="AH11" s="2">
        <v>0</v>
      </c>
      <c r="AK11">
        <f t="shared" si="5"/>
        <v>1</v>
      </c>
      <c r="AL11">
        <f t="shared" si="0"/>
        <v>0</v>
      </c>
      <c r="AM11">
        <f t="shared" si="1"/>
        <v>0</v>
      </c>
      <c r="AN11">
        <f t="shared" si="2"/>
        <v>1</v>
      </c>
      <c r="AP11">
        <v>2021</v>
      </c>
      <c r="AQ11">
        <f t="shared" si="8"/>
        <v>7</v>
      </c>
      <c r="AR11">
        <f t="shared" si="3"/>
        <v>0</v>
      </c>
      <c r="AS11">
        <f t="shared" si="6"/>
        <v>1</v>
      </c>
      <c r="AT11">
        <f t="shared" si="4"/>
        <v>6</v>
      </c>
      <c r="AY11" t="s">
        <v>966</v>
      </c>
      <c r="AZ11" cm="1">
        <f t="array" ref="AZ11">SUMPRODUCT(($Y$2:$Y$1000="PS")*(ISNUMBER(FIND(UPPER("prioritization"),UPPER($Z$2:$Z$1000))))*(ISNUMBER(FIND(UPPER("other"),UPPER($AA$2:$AA$1000))))*((ISNUMBER(FIND(UPPER("heuristic"),UPPER($AB$2:$AB$1000))))*(NOT(ISNUMBER(FIND(UPPER("meta"),UPPER($AB$2:$AB$1000)))))))</f>
        <v>1</v>
      </c>
      <c r="BA11" cm="1">
        <f t="array" ref="BA11">SUMPRODUCT(($Y$2:$Y$1000="PS")*(ISNUMBER(FIND(UPPER("prioritization"),UPPER($Z$2:$Z$1000))))*(ISNUMBER(FIND(UPPER("other"),UPPER($AA$2:$AA$1000))))*((ISNUMBER(FIND(UPPER("metaheuristic"),UPPER($AB$2:$AB$1000))))+(ISNUMBER(FIND(UPPER("meta-heuristic"),UPPER($AB$2:$AB$1000))))))</f>
        <v>1</v>
      </c>
      <c r="BB11" cm="1">
        <f t="array" ref="BB11">SUMPRODUCT(($Y$2:$Y$1000="PS")*(ISNUMBER(FIND(UPPER("prioritization"),UPPER($Z$2:$Z$1000))))*(ISNUMBER(FIND(UPPER("other"),UPPER($AA$2:$AA$1000))))*(ISNUMBER(FIND(UPPER("graph"),UPPER($AB$2:$AB$1000)))))</f>
        <v>0</v>
      </c>
      <c r="BC11" cm="1">
        <f t="array" ref="BC11">SUMPRODUCT(($Y$2:$Y$1000="PS")*(ISNUMBER(FIND(UPPER("prioritization"),UPPER($Z$2:$Z$1000))))*(ISNUMBER(FIND(UPPER("other"),UPPER($AA$2:$AA$1000))))*(ISNUMBER(FIND(UPPER("dynamic programming"),UPPER($AB$2:$AB$1000)))))</f>
        <v>0</v>
      </c>
      <c r="BD11" cm="1">
        <f t="array" ref="BD11">SUMPRODUCT(($Y$2:$Y$1000="PS")*(ISNUMBER(FIND(UPPER("prioritization"),UPPER($Z$2:$Z$1000))))*(ISNUMBER(FIND(UPPER("other"),UPPER($AA$2:$AA$1000))))*(ISNUMBER(FIND(UPPER("ml-based"),UPPER($AB$2:$AB$1000)))))</f>
        <v>3</v>
      </c>
      <c r="BE11" s="37" cm="1">
        <f t="array" ref="BE11">SUMPRODUCT(($Y$2:$Y$1000="PS")*(ISNUMBER(FIND(UPPER("prioritization"),UPPER($Z$2:$Z$1000))))*(ISNUMBER(FIND(UPPER("other"),UPPER($AA$2:$AA$1000))))*(ISNUMBER(FIND(UPPER("greedy"),UPPER($AB$2:$AB$1000)))))</f>
        <v>1</v>
      </c>
      <c r="BH11" t="s">
        <v>1334</v>
      </c>
      <c r="BI11" cm="1">
        <f t="array" ref="BI11">SUMPRODUCT(($Y$2:$Y$1000="PS")*(ISNUMBER(FIND(UPPER("selection"),UPPER($Z$2:$Z$1000))))*(ISNUMBER(FIND(UPPER("firewall"),UPPER($AA$2:$AA$1000))))*((ISNUMBER(FIND(UPPER("heuristic"),UPPER($AB$2:$AB$1000))))*(NOT(ISNUMBER(FIND(UPPER("meta"),UPPER($AB$2:$AB$1000)))))))</f>
        <v>0</v>
      </c>
      <c r="BJ11" cm="1">
        <f t="array" ref="BJ11">SUMPRODUCT(($Y$2:$Y$1000="PS")*(ISNUMBER(FIND(UPPER("selection"),UPPER($Z$2:$Z$1000))))*(ISNUMBER(FIND(UPPER("firewall"),UPPER($AA$2:$AA$1000))))*((ISNUMBER(FIND(UPPER("metaheuristic"),UPPER($AB$2:$AB$1000))))+(ISNUMBER(FIND(UPPER("meta-heuristic"),UPPER($AB$2:$AB$1000))))))</f>
        <v>0</v>
      </c>
      <c r="BK11" cm="1">
        <f t="array" ref="BK11">SUMPRODUCT(($Y$2:$Y$1000="PS")*(ISNUMBER(FIND(UPPER("selection"),UPPER($Z$2:$Z$1000))))*(ISNUMBER(FIND(UPPER("firewall"),UPPER($AA$2:$AA$1000))))*(ISNUMBER(FIND(UPPER("graph"),UPPER($AB$2:$AB$1000)))))</f>
        <v>0</v>
      </c>
      <c r="BL11" cm="1">
        <f t="array" ref="BL11">SUMPRODUCT(($Y$2:$Y$1000="PS")*(ISNUMBER(FIND(UPPER("selection"),UPPER($Z$2:$Z$1000))))*(ISNUMBER(FIND(UPPER("firewall"),UPPER($AA$2:$AA$1000))))*(ISNUMBER(FIND(UPPER("dynamic programming"),UPPER($AB$2:$AB$1000)))))</f>
        <v>0</v>
      </c>
      <c r="BM11" cm="1">
        <f t="array" ref="BM11">SUMPRODUCT(($Y$2:$Y$1000="PS")*(ISNUMBER(FIND(UPPER("selection"),UPPER($Z$2:$Z$1000))))*(ISNUMBER(FIND(UPPER("firewall"),UPPER($AA$2:$AA$1000))))*(ISNUMBER(FIND(UPPER("ml-based"),UPPER($AB$2:$AB$1000)))))</f>
        <v>0</v>
      </c>
      <c r="BN11" cm="1">
        <f t="array" ref="BN11">SUMPRODUCT(($Y$2:$Y$1000="PS")*(ISNUMBER(FIND(UPPER("selection"),UPPER($Z$2:$Z$1000))))*(ISNUMBER(FIND(UPPER("firewall"),UPPER($AA$2:$AA$1000))))*(ISNUMBER(FIND(UPPER("greedy"),UPPER($AB$2:$AB$1000)))))</f>
        <v>0</v>
      </c>
      <c r="BX11" t="s">
        <v>966</v>
      </c>
      <c r="CG11" t="s">
        <v>1334</v>
      </c>
      <c r="CN11">
        <v>2021</v>
      </c>
      <c r="CO11" cm="1">
        <f t="array" ref="CO11">SUMPRODUCT((Y$2:Y$1000="PS")*(F$2:F$1000=$CN11)*(AH$2:AH$1000=0))</f>
        <v>2</v>
      </c>
      <c r="CP11" cm="1">
        <f t="array" ref="CP11">SUMPRODUCT((Y$2:Y$1000="PS")*(F$2:F$1000=$CN11)*(AH$2:AH$1000=0.5))</f>
        <v>2</v>
      </c>
      <c r="CQ11" cm="1">
        <f t="array" ref="CQ11">SUMPRODUCT((Y$2:Y$1000="PS")*(F$2:F$1000=$CN11)*(AH$2:AH$1000=1))</f>
        <v>3</v>
      </c>
      <c r="CZ11" s="34"/>
      <c r="DH11" s="34"/>
      <c r="DI11" s="34"/>
      <c r="FQ11" t="s">
        <v>1277</v>
      </c>
      <c r="FR11" s="35" cm="1">
        <f t="array" ref="FR11">SUMPRODUCT((Y$2:Y$1000="PS")*ISNUMBER(SEARCH(LOWER(FQ11),LOWER(AA$2:AA$1000)))*ISNUMBER(SEARCH("prioritization",LOWER(Z$2:Z$1000))))</f>
        <v>0</v>
      </c>
      <c r="FV11">
        <v>2021</v>
      </c>
      <c r="FW11" s="35" cm="1">
        <f t="array" ref="FW11">SUMPRODUCT((Y$2:Y$1000="PS")*(F$2:F$1000=FV11)*ISNUMBER(SEARCH("prioritization",LOWER(Z$2:Z$1000)))*ISNUMBER(SEARCH("coverage",LOWER(AA$2:AA$1000))))</f>
        <v>1</v>
      </c>
      <c r="FX11" s="35" cm="1">
        <f t="array" ref="FX11">SUMPRODUCT((Y$2:Y$1000="PS")*(F$2:F$1000=FV11)*ISNUMBER(SEARCH("prioritization",LOWER(Z$2:Z$1000)))*ISNUMBER(SEARCH("requirement",LOWER(AA$2:AA$1000))))</f>
        <v>0</v>
      </c>
      <c r="FY11" s="35" cm="1">
        <f t="array" ref="FY11">SUMPRODUCT((Y$2:Y$1000="PS")*(F$2:F$1000=FV11)*ISNUMBER(SEARCH("prioritization",LOWER(Z$2:Z$1000)))*ISNUMBER(SEARCH("probab",LOWER(AA$2:AA$1000))))</f>
        <v>1</v>
      </c>
      <c r="FZ11" s="35" cm="1">
        <f t="array" ref="FZ11">SUMPRODUCT((Y$2:Y$1000="PS")*(F$2:F$1000=FV11)*ISNUMBER(SEARCH("prioritization",LOWER(Z$2:Z$1000)))*ISNUMBER(SEARCH("distribution",LOWER(AA$2:AA$1000))))</f>
        <v>0</v>
      </c>
      <c r="GA11" s="35" cm="1">
        <f t="array" ref="GA11">SUMPRODUCT((Y$2:Y$1000="PS")*(F$2:F$1000=FV11)*ISNUMBER(SEARCH("prioritization",LOWER(Z$2:Z$1000)))*ISNUMBER(SEARCH("clustering",LOWER(AA$2:AA$1000))))</f>
        <v>1</v>
      </c>
      <c r="GB11" s="35" cm="1">
        <f t="array" ref="GB11">SUMPRODUCT((Y$2:Y$1000="PS")*(F$2:F$1000=FV11)*ISNUMBER(SEARCH("prioritization",LOWER(Z$2:Z$1000)))*ISNUMBER(SEARCH("history",LOWER(AA$2:AA$1000))))</f>
        <v>2</v>
      </c>
      <c r="GC11" s="35" cm="1">
        <f t="array" ref="GC11">SUMPRODUCT((Y$2:Y$1000="PS")*(F$2:F$1000=FV11)*ISNUMBER(SEARCH("prioritization",LOWER(Z$2:Z$1000)))*ISNUMBER(SEARCH("model",LOWER(AA$2:AA$1000))))</f>
        <v>0</v>
      </c>
      <c r="GD11" s="35" cm="1">
        <f t="array" ref="GD11">SUMPRODUCT((Y$2:Y$1000="PS")*(F$2:F$1000=FV11)*ISNUMBER(SEARCH("prioritization",LOWER(Z$2:Z$1000)))*ISNUMBER(SEARCH("cost-aware",LOWER(AA$2:AA$1000))))</f>
        <v>1</v>
      </c>
      <c r="GE11" s="35" cm="1">
        <f t="array" ref="GE11">SUMPRODUCT((Y$2:Y$1000="PS")*(F$2:F$1000=FV11)*ISNUMBER(SEARCH("prioritization",LOWER(Z$2:Z$1000)))*ISNUMBER(SEARCH("similarity",LOWER(AA$2:AA$1000))))</f>
        <v>0</v>
      </c>
      <c r="GF11" s="35" cm="1">
        <f t="array" ref="GF11">SUMPRODUCT((Y$2:Y$1000="PS")*(F$2:F$1000=FV11)*ISNUMBER(SEARCH("prioritization",LOWER(Z$2:Z$1000)))*ISNUMBER(SEARCH("input",LOWER(AA$2:AA$1000))))</f>
        <v>0</v>
      </c>
      <c r="GG11" s="35" cm="1">
        <f t="array" ref="GG11">SUMPRODUCT((Y$2:Y$1000="PS")*(F$2:F$1000=FV11)*ISNUMBER(SEARCH("prioritization",LOWER(Z$2:Z$1000)))*ISNUMBER(SEARCH("structure",LOWER(AA$2:AA$1000))))</f>
        <v>0</v>
      </c>
      <c r="GH11" s="35" cm="1">
        <f t="array" ref="GH11">SUMPRODUCT((Y$2:Y$1000="PS")*(F$2:F$1000=FV11)*ISNUMBER(SEARCH("prioritization",LOWER(Z$2:Z$1000)))*ISNUMBER(SEARCH("change",LOWER(AA$2:AA$1000))))</f>
        <v>0</v>
      </c>
      <c r="GI11" s="35" cm="1">
        <f t="array" ref="GI11">SUMPRODUCT((Y$2:Y$1000="PS")*(F$2:F$1000=FV11)*ISNUMBER(SEARCH("prioritization",LOWER(Z$2:Z$1000)))*ISNUMBER(SEARCH("ml",LOWER(AA$2:AA$1000))))</f>
        <v>0</v>
      </c>
      <c r="GJ11" s="35" cm="1">
        <f t="array" ref="GJ11">SUMPRODUCT((Y$2:Y$1000="PS")*(F$2:F$1000=FV11)*ISNUMBER(SEARCH("prioritization",LOWER(Z$2:Z$1000)))*ISNUMBER(SEARCH("heuristic",LOWER(AA$2:AA$1000))))</f>
        <v>0</v>
      </c>
      <c r="GK11" s="35" cm="1">
        <f t="array" ref="GK11">SUMPRODUCT((Y$2:Y$1000="PS")*(F$2:F$1000=FV11)*ISNUMBER(SEARCH("prioritization",LOWER(Z$2:Z$1000)))*ISNUMBER(SEARCH("search",LOWER(AA$2:AA$1000))))</f>
        <v>1</v>
      </c>
      <c r="GL11" s="35" cm="1">
        <f t="array" ref="GL11">SUMPRODUCT((Y$2:Y$1000="PS")*(F$2:F$1000=FV11)*ISNUMBER(SEARCH("prioritization",LOWER(Z$2:Z$1000)))*ISNUMBER(SEARCH("transfer",LOWER(AA$2:AA$1000))))</f>
        <v>0</v>
      </c>
      <c r="GM11" s="35" cm="1">
        <f t="array" ref="GM11">SUMPRODUCT((Y$2:Y$1000="PS")*(F$2:F$1000=FV11)*ISNUMBER(SEARCH("prioritization",LOWER(Z$2:Z$1000)))*ISNUMBER(SEARCH("riski",LOWER(AA$2:AA$1000))))</f>
        <v>0</v>
      </c>
      <c r="GN11" s="35" cm="1">
        <f t="array" ref="GN11">SUMPRODUCT((Y$2:Y$1000="PS")*(F$2:F$1000=FV11)*ISNUMBER(SEARCH("prioritization",LOWER(Z$2:Z$1000)))*ISNUMBER(SEARCH("nlp",LOWER(AA$2:AA$1000))))</f>
        <v>0</v>
      </c>
      <c r="GO11" s="35" cm="1">
        <f t="array" ref="GO11">SUMPRODUCT((Y$2:Y$1000="PS")*(F$2:F$1000=FV11)*ISNUMBER(SEARCH("prioritization",LOWER(Z$2:Z$1000)))*ISNUMBER(SEARCH("design",LOWER(AA$2:AA$1000))))</f>
        <v>0</v>
      </c>
      <c r="GP11" s="35" cm="1">
        <f t="array" ref="GP11">SUMPRODUCT((Y$2:Y$1000="PS")*(F$2:F$1000=FV11)*ISNUMBER(SEARCH("prioritization",LOWER(Z$2:Z$1000)))*ISNUMBER(SEARCH("other",LOWER(AA$2:AA$1000))))</f>
        <v>1</v>
      </c>
      <c r="GQ11">
        <f t="shared" si="7"/>
        <v>0</v>
      </c>
      <c r="GZ11">
        <v>2021</v>
      </c>
      <c r="HA11" cm="1">
        <f t="array" ref="HA11">SUMPRODUCT((Y$2:Y$1000="PS")*(F$2:F$1000=GZ11)*ISNUMBER(SEARCH("prioritization",LOWER(Z$2:Z$1000)))*ISNUMBER(SEARCH(LOWER("metaheuristic"),LOWER(AB$2:AB$1000))))</f>
        <v>0</v>
      </c>
      <c r="HB11" cm="1">
        <f t="array" ref="HB11">SUMPRODUCT((Y$2:Y$1000="PS")*(F$2:F$1000=GZ11)*ISNUMBER(SEARCH("prioritization",LOWER(Z$2:Z$1000)))*ISNUMBER(SEARCH(LOWER("search"),LOWER(AB$2:AB$1000))))</f>
        <v>0</v>
      </c>
      <c r="HC11" cm="1">
        <f t="array" ref="HC11">SUMPRODUCT((Y$2:Y$1000="PS")*(F$2:F$1000=GZ11)*ISNUMBER(SEARCH("prioritization",LOWER(Z$2:Z$1000)))*ISNUMBER(SEARCH(LOWER("heuristic"),LOWER(AB$2:AB$1000))))</f>
        <v>3</v>
      </c>
      <c r="HD11" cm="1">
        <f t="array" ref="HD11">SUMPRODUCT((Y$2:Y$1000="PS")*(F$2:F$1000=GZ11)*ISNUMBER(SEARCH("prioritization",LOWER(Z$2:Z$1000)))*ISNUMBER(SEARCH(LOWER("ml"),LOWER(AB$2:AB$1000))))</f>
        <v>3</v>
      </c>
      <c r="HE11" cm="1">
        <f t="array" ref="HE11">SUMPRODUCT((Y$2:Y$1000="PS")*(F$2:F$1000=GZ11)*ISNUMBER(SEARCH("prioritization",LOWER(Z$2:Z$1000)))*ISNUMBER(SEARCH(LOWER("rule"),LOWER(AB$2:AB$1000))))</f>
        <v>0</v>
      </c>
      <c r="HF11" cm="1">
        <f t="array" ref="HF11">SUMPRODUCT((Y$2:Y$1000="PS")*(F$2:F$1000=GZ11)*ISNUMBER(SEARCH("prioritization",LOWER(Z$2:Z$1000)))*ISNUMBER(SEARCH(LOWER(HF$2),LOWER(AB$2:AB$1000))))</f>
        <v>0</v>
      </c>
      <c r="HG11" cm="1">
        <f t="array" ref="HG11">SUMPRODUCT((Y$2:Y$1000="PS")*(F$2:F$1000=GZ11)*ISNUMBER(SEARCH("prioritization",LOWER(Z$2:Z$1000)))*ISNUMBER(SEARCH(LOWER("model"),LOWER(AB$2:AB$1000))))</f>
        <v>0</v>
      </c>
      <c r="HH11" cm="1">
        <f t="array" ref="HH11">SUMPRODUCT((Y$2:Y$1000="PS")*(F$2:F$1000=GZ11)*ISNUMBER(SEARCH("prioritization",LOWER(Z$2:Z$1000)))*ISNUMBER(SEARCH(LOWER(HH$2),LOWER(AB$2:AB$1000))))</f>
        <v>0</v>
      </c>
      <c r="HI11" cm="1">
        <f t="array" ref="HI11">SUMPRODUCT((Y$2:Y$1000="PS")*(F$2:F$1000=GZ11)*ISNUMBER(SEARCH("prioritization",LOWER(Z$2:Z$1000)))*ISNUMBER(SEARCH(LOWER("quantum"),LOWER(AB$2:AB$1000))))</f>
        <v>0</v>
      </c>
      <c r="HJ11" cm="1">
        <f t="array" ref="HJ11">SUMPRODUCT((Y$2:Y$1000="PS")*(F$2:F$1000=GZ11)*ISNUMBER(SEARCH("prioritization",LOWER(Z$2:Z$1000)))*ISNUMBER(SEARCH(LOWER("genetic"),LOWER(AB$2:AB$1000))))</f>
        <v>0</v>
      </c>
      <c r="HK11" cm="1">
        <f t="array" ref="HK11">SUMPRODUCT((Y$2:Y$1000="PS")*(F$2:F$1000=GZ11)*ISNUMBER(SEARCH("prioritization",LOWER(Z$2:Z$1000)))*ISNUMBER(SEARCH(LOWER("graph"),LOWER(AB$2:AB$1000))))</f>
        <v>0</v>
      </c>
      <c r="HL11" cm="1">
        <f t="array" ref="HL11">SUMPRODUCT((Y$2:Y$1000="PS")*(F$2:F$1000=GZ11)*ISNUMBER(SEARCH("prioritization",LOWER(Z$2:Z$1000)))*ISNUMBER(SEARCH(LOWER("greedy"),LOWER(AB$2:AB$1000))))</f>
        <v>0</v>
      </c>
      <c r="HM11" cm="1">
        <f t="array" ref="HM11">SUMPRODUCT((Y$2:Y$1000="PS")*(F$2:F$1000=GZ11)*ISNUMBER(SEARCH("prioritization",LOWER(Z$2:Z$1000)))*ISNUMBER(SEARCH(LOWER("dynamic"),LOWER(AB$2:AB$1000))))</f>
        <v>0</v>
      </c>
    </row>
    <row r="12" spans="1:221" ht="409.6">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181</v>
      </c>
      <c r="AA12" s="2" t="s">
        <v>1366</v>
      </c>
      <c r="AB12" s="2" t="s">
        <v>130</v>
      </c>
      <c r="AC12" s="2" t="s">
        <v>131</v>
      </c>
      <c r="AD12" s="2" t="s">
        <v>182</v>
      </c>
      <c r="AE12" s="2" t="s">
        <v>183</v>
      </c>
      <c r="AF12" s="2" t="s">
        <v>184</v>
      </c>
      <c r="AG12" s="2" t="s">
        <v>185</v>
      </c>
      <c r="AH12" s="2">
        <v>0.5</v>
      </c>
      <c r="AK12">
        <f t="shared" si="5"/>
        <v>1</v>
      </c>
      <c r="AL12">
        <f t="shared" si="0"/>
        <v>0</v>
      </c>
      <c r="AM12">
        <f t="shared" si="1"/>
        <v>1</v>
      </c>
      <c r="AN12">
        <f t="shared" si="2"/>
        <v>1</v>
      </c>
      <c r="AP12">
        <v>2022</v>
      </c>
      <c r="AQ12">
        <f t="shared" si="8"/>
        <v>17</v>
      </c>
      <c r="AR12">
        <f t="shared" si="3"/>
        <v>1</v>
      </c>
      <c r="AS12">
        <f t="shared" si="6"/>
        <v>1</v>
      </c>
      <c r="AT12">
        <f t="shared" si="4"/>
        <v>17</v>
      </c>
      <c r="BH12" t="s">
        <v>1335</v>
      </c>
      <c r="BI12" cm="1">
        <f t="array" ref="BI12">SUMPRODUCT(($Y$2:$Y$1000="PS")*(ISNUMBER(FIND(UPPER("selection"),UPPER($Z$2:$Z$1000))))*(ISNUMBER(FIND(UPPER("cluster"),UPPER($AA$2:$AA$1000))))*((ISNUMBER(FIND(UPPER("heuristic"),UPPER($AB$2:$AB$1000))))*(NOT(ISNUMBER(FIND(UPPER("meta"),UPPER($AB$2:$AB$1000)))))))</f>
        <v>0</v>
      </c>
      <c r="BJ12" cm="1">
        <f t="array" ref="BJ12">SUMPRODUCT(($Y$2:$Y$1000="PS")*(ISNUMBER(FIND(UPPER("selection"),UPPER($Z$2:$Z$1000))))*(ISNUMBER(FIND(UPPER("cluster"),UPPER($AA$2:$AA$1000))))*((ISNUMBER(FIND(UPPER("metaheuristic"),UPPER($AB$2:$AB$1000))))+(ISNUMBER(FIND(UPPER("meta-heuristic"),UPPER($AB$2:$AB$1000))))))</f>
        <v>0</v>
      </c>
      <c r="BK12" cm="1">
        <f t="array" ref="BK12">SUMPRODUCT(($Y$2:$Y$1000="PS")*(ISNUMBER(FIND(UPPER("selection"),UPPER($Z$2:$Z$1000))))*(ISNUMBER(FIND(UPPER("cluster"),UPPER($AA$2:$AA$1000))))*(ISNUMBER(FIND(UPPER("graph"),UPPER($AB$2:$AB$1000)))))</f>
        <v>0</v>
      </c>
      <c r="BL12" cm="1">
        <f t="array" ref="BL12">SUMPRODUCT(($Y$2:$Y$1000="PS")*(ISNUMBER(FIND(UPPER("selection"),UPPER($Z$2:$Z$1000))))*(ISNUMBER(FIND(UPPER("cluster"),UPPER($AA$2:$AA$1000))))*(ISNUMBER(FIND(UPPER("dynamic programming"),UPPER($AB$2:$AB$1000)))))</f>
        <v>0</v>
      </c>
      <c r="BM12" cm="1">
        <f t="array" ref="BM12">SUMPRODUCT(($Y$2:$Y$1000="PS")*(ISNUMBER(FIND(UPPER("selection"),UPPER($Z$2:$Z$1000))))*(ISNUMBER(FIND(UPPER("cluster"),UPPER($AA$2:$AA$1000))))*(ISNUMBER(FIND(UPPER("ml-based"),UPPER($AB$2:$AB$1000)))))</f>
        <v>0</v>
      </c>
      <c r="BN12" cm="1">
        <f t="array" ref="BN12">SUMPRODUCT(($Y$2:$Y$1000="PS")*(ISNUMBER(FIND(UPPER("selection"),UPPER($Z$2:$Z$1000))))*(ISNUMBER(FIND(UPPER("cluster"),UPPER($AA$2:$AA$1000))))*(ISNUMBER(FIND(UPPER("greedy"),UPPER($AB$2:$AB$1000)))))</f>
        <v>0</v>
      </c>
      <c r="CG12" t="s">
        <v>1335</v>
      </c>
      <c r="CN12">
        <v>2022</v>
      </c>
      <c r="CO12">
        <v>7</v>
      </c>
      <c r="CP12" cm="1">
        <f t="array" ref="CP12">SUMPRODUCT((Y$2:Y$1000="PS")*(F$2:F$1000=$CN12)*(AH$2:AH$1000=0.5))</f>
        <v>6</v>
      </c>
      <c r="CQ12" cm="1">
        <f t="array" ref="CQ12">SUMPRODUCT((Y$2:Y$1000="PS")*(F$2:F$1000=$CN12)*(AH$2:AH$1000=1))</f>
        <v>4</v>
      </c>
      <c r="CZ12" s="34"/>
      <c r="DH12" s="34"/>
      <c r="DI12" s="34"/>
      <c r="FQ12" t="s">
        <v>1278</v>
      </c>
      <c r="FR12" s="35" cm="1">
        <f t="array" ref="FR12">SUMPRODUCT((Y$2:Y$1000="PS")*ISNUMBER(SEARCH(LOWER(FQ12),LOWER(AA$2:AA$1000)))*ISNUMBER(SEARCH("prioritization",LOWER(Z$2:Z$1000))))</f>
        <v>0</v>
      </c>
      <c r="FV12">
        <v>2022</v>
      </c>
      <c r="FW12" s="35" cm="1">
        <f t="array" ref="FW12">SUMPRODUCT((Y$2:Y$1000="PS")*(F$2:F$1000=FV12)*ISNUMBER(SEARCH("prioritization",LOWER(Z$2:Z$1000)))*ISNUMBER(SEARCH("coverage",LOWER(AA$2:AA$1000))))</f>
        <v>9</v>
      </c>
      <c r="FX12" s="35" cm="1">
        <f t="array" ref="FX12">SUMPRODUCT((Y$2:Y$1000="PS")*(F$2:F$1000=FV12)*ISNUMBER(SEARCH("prioritization",LOWER(Z$2:Z$1000)))*ISNUMBER(SEARCH("requirement",LOWER(AA$2:AA$1000))))</f>
        <v>0</v>
      </c>
      <c r="FY12" s="35" cm="1">
        <f t="array" ref="FY12">SUMPRODUCT((Y$2:Y$1000="PS")*(F$2:F$1000=FV12)*ISNUMBER(SEARCH("prioritization",LOWER(Z$2:Z$1000)))*ISNUMBER(SEARCH("probab",LOWER(AA$2:AA$1000))))</f>
        <v>2</v>
      </c>
      <c r="FZ12" s="35" cm="1">
        <f t="array" ref="FZ12">SUMPRODUCT((Y$2:Y$1000="PS")*(F$2:F$1000=FV12)*ISNUMBER(SEARCH("prioritization",LOWER(Z$2:Z$1000)))*ISNUMBER(SEARCH("distribution",LOWER(AA$2:AA$1000))))</f>
        <v>1</v>
      </c>
      <c r="GA12" s="35" cm="1">
        <f t="array" ref="GA12">SUMPRODUCT((Y$2:Y$1000="PS")*(F$2:F$1000=FV12)*ISNUMBER(SEARCH("prioritization",LOWER(Z$2:Z$1000)))*ISNUMBER(SEARCH("clustering",LOWER(AA$2:AA$1000))))</f>
        <v>0</v>
      </c>
      <c r="GB12" s="35" cm="1">
        <f t="array" ref="GB12">SUMPRODUCT((Y$2:Y$1000="PS")*(F$2:F$1000=FV12)*ISNUMBER(SEARCH("prioritization",LOWER(Z$2:Z$1000)))*ISNUMBER(SEARCH("history",LOWER(AA$2:AA$1000))))</f>
        <v>4</v>
      </c>
      <c r="GC12" s="35" cm="1">
        <f t="array" ref="GC12">SUMPRODUCT((Y$2:Y$1000="PS")*(F$2:F$1000=FV12)*ISNUMBER(SEARCH("prioritization",LOWER(Z$2:Z$1000)))*ISNUMBER(SEARCH("model",LOWER(AA$2:AA$1000))))</f>
        <v>1</v>
      </c>
      <c r="GD12" s="35" cm="1">
        <f t="array" ref="GD12">SUMPRODUCT((Y$2:Y$1000="PS")*(F$2:F$1000=FV12)*ISNUMBER(SEARCH("prioritization",LOWER(Z$2:Z$1000)))*ISNUMBER(SEARCH("cost-aware",LOWER(AA$2:AA$1000))))</f>
        <v>1</v>
      </c>
      <c r="GE12" s="35" cm="1">
        <f t="array" ref="GE12">SUMPRODUCT((Y$2:Y$1000="PS")*(F$2:F$1000=FV12)*ISNUMBER(SEARCH("prioritization",LOWER(Z$2:Z$1000)))*ISNUMBER(SEARCH("similarity",LOWER(AA$2:AA$1000))))</f>
        <v>0</v>
      </c>
      <c r="GF12" s="35" cm="1">
        <f t="array" ref="GF12">SUMPRODUCT((Y$2:Y$1000="PS")*(F$2:F$1000=FV12)*ISNUMBER(SEARCH("prioritization",LOWER(Z$2:Z$1000)))*ISNUMBER(SEARCH("input",LOWER(AA$2:AA$1000))))</f>
        <v>0</v>
      </c>
      <c r="GG12" s="35" cm="1">
        <f t="array" ref="GG12">SUMPRODUCT((Y$2:Y$1000="PS")*(F$2:F$1000=FV12)*ISNUMBER(SEARCH("prioritization",LOWER(Z$2:Z$1000)))*ISNUMBER(SEARCH("structure",LOWER(AA$2:AA$1000))))</f>
        <v>0</v>
      </c>
      <c r="GH12" s="35" cm="1">
        <f t="array" ref="GH12">SUMPRODUCT((Y$2:Y$1000="PS")*(F$2:F$1000=FV12)*ISNUMBER(SEARCH("prioritization",LOWER(Z$2:Z$1000)))*ISNUMBER(SEARCH("change",LOWER(AA$2:AA$1000))))</f>
        <v>0</v>
      </c>
      <c r="GI12" s="35" cm="1">
        <f t="array" ref="GI12">SUMPRODUCT((Y$2:Y$1000="PS")*(F$2:F$1000=FV12)*ISNUMBER(SEARCH("prioritization",LOWER(Z$2:Z$1000)))*ISNUMBER(SEARCH("ml",LOWER(AA$2:AA$1000))))</f>
        <v>0</v>
      </c>
      <c r="GJ12" s="35" cm="1">
        <f t="array" ref="GJ12">SUMPRODUCT((Y$2:Y$1000="PS")*(F$2:F$1000=FV12)*ISNUMBER(SEARCH("prioritization",LOWER(Z$2:Z$1000)))*ISNUMBER(SEARCH("heuristic",LOWER(AA$2:AA$1000))))</f>
        <v>0</v>
      </c>
      <c r="GK12" s="35" cm="1">
        <f t="array" ref="GK12">SUMPRODUCT((Y$2:Y$1000="PS")*(F$2:F$1000=FV12)*ISNUMBER(SEARCH("prioritization",LOWER(Z$2:Z$1000)))*ISNUMBER(SEARCH("search",LOWER(AA$2:AA$1000))))</f>
        <v>0</v>
      </c>
      <c r="GL12" s="35" cm="1">
        <f t="array" ref="GL12">SUMPRODUCT((Y$2:Y$1000="PS")*(F$2:F$1000=FV12)*ISNUMBER(SEARCH("prioritization",LOWER(Z$2:Z$1000)))*ISNUMBER(SEARCH("transfer",LOWER(AA$2:AA$1000))))</f>
        <v>0</v>
      </c>
      <c r="GM12" s="35" cm="1">
        <f t="array" ref="GM12">SUMPRODUCT((Y$2:Y$1000="PS")*(F$2:F$1000=FV12)*ISNUMBER(SEARCH("prioritization",LOWER(Z$2:Z$1000)))*ISNUMBER(SEARCH("riski",LOWER(AA$2:AA$1000))))</f>
        <v>0</v>
      </c>
      <c r="GN12" s="35" cm="1">
        <f t="array" ref="GN12">SUMPRODUCT((Y$2:Y$1000="PS")*(F$2:F$1000=FV12)*ISNUMBER(SEARCH("prioritization",LOWER(Z$2:Z$1000)))*ISNUMBER(SEARCH("nlp",LOWER(AA$2:AA$1000))))</f>
        <v>0</v>
      </c>
      <c r="GO12" s="35" cm="1">
        <f t="array" ref="GO12">SUMPRODUCT((Y$2:Y$1000="PS")*(F$2:F$1000=FV12)*ISNUMBER(SEARCH("prioritization",LOWER(Z$2:Z$1000)))*ISNUMBER(SEARCH("design",LOWER(AA$2:AA$1000))))</f>
        <v>0</v>
      </c>
      <c r="GP12" s="35" cm="1">
        <f t="array" ref="GP12">SUMPRODUCT((Y$2:Y$1000="PS")*(F$2:F$1000=FV12)*ISNUMBER(SEARCH("prioritization",LOWER(Z$2:Z$1000)))*ISNUMBER(SEARCH("other",LOWER(AA$2:AA$1000))))</f>
        <v>1</v>
      </c>
      <c r="GQ12">
        <f t="shared" si="7"/>
        <v>0</v>
      </c>
      <c r="GZ12">
        <v>2022</v>
      </c>
      <c r="HA12" cm="1">
        <f t="array" ref="HA12">SUMPRODUCT((Y$2:Y$1000="PS")*(F$2:F$1000=GZ12)*ISNUMBER(SEARCH("prioritization",LOWER(Z$2:Z$1000)))*ISNUMBER(SEARCH(LOWER("metaheuristic"),LOWER(AB$2:AB$1000))))</f>
        <v>0</v>
      </c>
      <c r="HB12" cm="1">
        <f t="array" ref="HB12">SUMPRODUCT((Y$2:Y$1000="PS")*(F$2:F$1000=GZ12)*ISNUMBER(SEARCH("prioritization",LOWER(Z$2:Z$1000)))*ISNUMBER(SEARCH(LOWER("search"),LOWER(AB$2:AB$1000))))</f>
        <v>0</v>
      </c>
      <c r="HC12" cm="1">
        <f t="array" ref="HC12">SUMPRODUCT((Y$2:Y$1000="PS")*(F$2:F$1000=GZ12)*ISNUMBER(SEARCH("prioritization",LOWER(Z$2:Z$1000)))*ISNUMBER(SEARCH(LOWER("heuristic"),LOWER(AB$2:AB$1000))))</f>
        <v>8</v>
      </c>
      <c r="HD12" cm="1">
        <f t="array" ref="HD12">SUMPRODUCT((Y$2:Y$1000="PS")*(F$2:F$1000=GZ12)*ISNUMBER(SEARCH("prioritization",LOWER(Z$2:Z$1000)))*ISNUMBER(SEARCH(LOWER("ml"),LOWER(AB$2:AB$1000))))</f>
        <v>5</v>
      </c>
      <c r="HE12" cm="1">
        <f t="array" ref="HE12">SUMPRODUCT((Y$2:Y$1000="PS")*(F$2:F$1000=GZ12)*ISNUMBER(SEARCH("prioritization",LOWER(Z$2:Z$1000)))*ISNUMBER(SEARCH(LOWER("rule"),LOWER(AB$2:AB$1000))))</f>
        <v>0</v>
      </c>
      <c r="HF12" cm="1">
        <f t="array" ref="HF12">SUMPRODUCT((Y$2:Y$1000="PS")*(F$2:F$1000=GZ12)*ISNUMBER(SEARCH("prioritization",LOWER(Z$2:Z$1000)))*ISNUMBER(SEARCH(LOWER(HF$2),LOWER(AB$2:AB$1000))))</f>
        <v>0</v>
      </c>
      <c r="HG12" cm="1">
        <f t="array" ref="HG12">SUMPRODUCT((Y$2:Y$1000="PS")*(F$2:F$1000=GZ12)*ISNUMBER(SEARCH("prioritization",LOWER(Z$2:Z$1000)))*ISNUMBER(SEARCH(LOWER("model"),LOWER(AB$2:AB$1000))))</f>
        <v>0</v>
      </c>
      <c r="HH12" cm="1">
        <f t="array" ref="HH12">SUMPRODUCT((Y$2:Y$1000="PS")*(F$2:F$1000=GZ12)*ISNUMBER(SEARCH("prioritization",LOWER(Z$2:Z$1000)))*ISNUMBER(SEARCH(LOWER(HH$2),LOWER(AB$2:AB$1000))))</f>
        <v>0</v>
      </c>
      <c r="HI12" cm="1">
        <f t="array" ref="HI12">SUMPRODUCT((Y$2:Y$1000="PS")*(F$2:F$1000=GZ12)*ISNUMBER(SEARCH("prioritization",LOWER(Z$2:Z$1000)))*ISNUMBER(SEARCH(LOWER("quantum"),LOWER(AB$2:AB$1000))))</f>
        <v>0</v>
      </c>
      <c r="HJ12" cm="1">
        <f t="array" ref="HJ12">SUMPRODUCT((Y$2:Y$1000="PS")*(F$2:F$1000=GZ12)*ISNUMBER(SEARCH("prioritization",LOWER(Z$2:Z$1000)))*ISNUMBER(SEARCH(LOWER("genetic"),LOWER(AB$2:AB$1000))))</f>
        <v>0</v>
      </c>
      <c r="HK12" cm="1">
        <f t="array" ref="HK12">SUMPRODUCT((Y$2:Y$1000="PS")*(F$2:F$1000=GZ12)*ISNUMBER(SEARCH("prioritization",LOWER(Z$2:Z$1000)))*ISNUMBER(SEARCH(LOWER("graph"),LOWER(AB$2:AB$1000))))</f>
        <v>0</v>
      </c>
      <c r="HL12" cm="1">
        <f t="array" ref="HL12">SUMPRODUCT((Y$2:Y$1000="PS")*(F$2:F$1000=GZ12)*ISNUMBER(SEARCH("prioritization",LOWER(Z$2:Z$1000)))*ISNUMBER(SEARCH(LOWER("greedy"),LOWER(AB$2:AB$1000))))</f>
        <v>4</v>
      </c>
      <c r="HM12" cm="1">
        <f t="array" ref="HM12">SUMPRODUCT((Y$2:Y$1000="PS")*(F$2:F$1000=GZ12)*ISNUMBER(SEARCH("prioritization",LOWER(Z$2:Z$1000)))*ISNUMBER(SEARCH(LOWER("dynamic"),LOWER(AB$2:AB$1000))))</f>
        <v>0</v>
      </c>
    </row>
    <row r="13" spans="1:221" ht="409.6">
      <c r="A13" s="2">
        <v>8452804</v>
      </c>
      <c r="B13" s="2" t="s">
        <v>34</v>
      </c>
      <c r="C13" s="2" t="s">
        <v>186</v>
      </c>
      <c r="D13" s="2" t="s">
        <v>187</v>
      </c>
      <c r="E13" s="2" t="s">
        <v>188</v>
      </c>
      <c r="F13" s="2">
        <v>2018</v>
      </c>
      <c r="G13" s="2"/>
      <c r="H13" s="2"/>
      <c r="I13" s="2" t="s">
        <v>189</v>
      </c>
      <c r="J13" s="2" t="s">
        <v>190</v>
      </c>
      <c r="K13" s="2" t="s">
        <v>191</v>
      </c>
      <c r="L13" s="2"/>
      <c r="M13" s="2"/>
      <c r="N13" s="2" t="s">
        <v>75</v>
      </c>
      <c r="O13" s="2"/>
      <c r="P13" s="2"/>
      <c r="Q13" s="2"/>
      <c r="R13" s="2"/>
      <c r="S13" s="2"/>
      <c r="T13" s="2"/>
      <c r="U13" s="2"/>
      <c r="V13" s="2"/>
      <c r="W13" s="2"/>
      <c r="X13" s="2" t="s">
        <v>192</v>
      </c>
      <c r="Y13" s="2" t="s">
        <v>58</v>
      </c>
      <c r="Z13" s="2" t="s">
        <v>193</v>
      </c>
      <c r="AA13" s="2" t="s">
        <v>1368</v>
      </c>
      <c r="AB13" s="2" t="s">
        <v>1383</v>
      </c>
      <c r="AC13" s="2" t="s">
        <v>194</v>
      </c>
      <c r="AD13" s="2" t="s">
        <v>195</v>
      </c>
      <c r="AE13" s="2" t="s">
        <v>196</v>
      </c>
      <c r="AF13" s="2" t="s">
        <v>184</v>
      </c>
      <c r="AG13" s="2" t="s">
        <v>197</v>
      </c>
      <c r="AH13" s="2">
        <v>0</v>
      </c>
      <c r="AK13">
        <f t="shared" si="5"/>
        <v>1</v>
      </c>
      <c r="AL13">
        <f t="shared" si="0"/>
        <v>0</v>
      </c>
      <c r="AM13">
        <f t="shared" si="1"/>
        <v>1</v>
      </c>
      <c r="AN13">
        <f t="shared" si="2"/>
        <v>0</v>
      </c>
      <c r="AP13">
        <v>2023</v>
      </c>
      <c r="AQ13">
        <f t="shared" si="8"/>
        <v>9</v>
      </c>
      <c r="AR13">
        <f t="shared" si="3"/>
        <v>0</v>
      </c>
      <c r="AS13">
        <f t="shared" si="6"/>
        <v>2</v>
      </c>
      <c r="AT13">
        <f t="shared" si="4"/>
        <v>7</v>
      </c>
      <c r="BH13" t="s">
        <v>1325</v>
      </c>
      <c r="BI13" cm="1">
        <f t="array" ref="BI13">SUMPRODUCT(($Y$2:$Y$1000="PS")*(ISNUMBER(FIND(UPPER("selection"),UPPER($Z$2:$Z$1000))))*(ISNUMBER(FIND(UPPER("design"),UPPER($AA$2:$AA$1000))))*((ISNUMBER(FIND(UPPER("heuristic"),UPPER($AB$2:$AB$1000))))*(NOT(ISNUMBER(FIND(UPPER("meta"),UPPER($AB$2:$AB$1000)))))))</f>
        <v>2</v>
      </c>
      <c r="BJ13" cm="1">
        <f t="array" ref="BJ13">SUMPRODUCT(($Y$2:$Y$1000="PS")*(ISNUMBER(FIND(UPPER("selection"),UPPER($Z$2:$Z$1000))))*(ISNUMBER(FIND(UPPER("design"),UPPER($AA$2:$AA$1000))))*((ISNUMBER(FIND(UPPER("metaheuristic"),UPPER($AB$2:$AB$1000))))+(ISNUMBER(FIND(UPPER("meta-heuristic"),UPPER($AB$2:$AB$1000))))))</f>
        <v>0</v>
      </c>
      <c r="BK13" cm="1">
        <f t="array" ref="BK13">SUMPRODUCT(($Y$2:$Y$1000="PS")*(ISNUMBER(FIND(UPPER("selection"),UPPER($Z$2:$Z$1000))))*(ISNUMBER(FIND(UPPER("design"),UPPER($AA$2:$AA$1000))))*(ISNUMBER(FIND(UPPER("graph"),UPPER($AB$2:$AB$1000)))))</f>
        <v>0</v>
      </c>
      <c r="BL13" cm="1">
        <f t="array" ref="BL13">SUMPRODUCT(($Y$2:$Y$1000="PS")*(ISNUMBER(FIND(UPPER("selection"),UPPER($Z$2:$Z$1000))))*(ISNUMBER(FIND(UPPER("design"),UPPER($AA$2:$AA$1000))))*(ISNUMBER(FIND(UPPER("dynamic programming"),UPPER($AB$2:$AB$1000)))))</f>
        <v>0</v>
      </c>
      <c r="BM13" cm="1">
        <f t="array" ref="BM13">SUMPRODUCT(($Y$2:$Y$1000="PS")*(ISNUMBER(FIND(UPPER("selection"),UPPER($Z$2:$Z$1000))))*(ISNUMBER(FIND(UPPER("design"),UPPER($AA$2:$AA$1000))))*(ISNUMBER(FIND(UPPER("ml-based"),UPPER($AB$2:$AB$1000)))))</f>
        <v>0</v>
      </c>
      <c r="BN13" cm="1">
        <f t="array" ref="BN13">SUMPRODUCT(($Y$2:$Y$1000="PS")*(ISNUMBER(FIND(UPPER("selection"),UPPER($Z$2:$Z$1000))))*(ISNUMBER(FIND(UPPER("design"),UPPER($AA$2:$AA$1000))))*(ISNUMBER(FIND(UPPER("greedy"),UPPER($AB$2:$AB$1000)))))</f>
        <v>0</v>
      </c>
      <c r="CG13" t="s">
        <v>1325</v>
      </c>
      <c r="CK13">
        <v>2</v>
      </c>
      <c r="CN13">
        <v>2023</v>
      </c>
      <c r="CO13" cm="1">
        <f t="array" ref="CO13">SUMPRODUCT((Y$2:Y$1000="PS")*(F$2:F$1000=$CN13)*(AH$2:AH$1000=0))</f>
        <v>3</v>
      </c>
      <c r="CP13" cm="1">
        <f t="array" ref="CP13">SUMPRODUCT((Y$2:Y$1000="PS")*(F$2:F$1000=$CN13)*(AH$2:AH$1000=0.5))</f>
        <v>2</v>
      </c>
      <c r="CQ13" cm="1">
        <f t="array" ref="CQ13">SUMPRODUCT((Y$2:Y$1000="PS")*(F$2:F$1000=$CN13)*(AH$2:AH$1000=1))</f>
        <v>4</v>
      </c>
      <c r="CZ13" s="34"/>
      <c r="DH13" s="34"/>
      <c r="DI13" s="34"/>
      <c r="FQ13" t="s">
        <v>1279</v>
      </c>
      <c r="FR13" s="35" cm="1">
        <f t="array" ref="FR13">SUMPRODUCT((Y$2:Y$1000="PS")*ISNUMBER(SEARCH(LOWER(FQ13),LOWER(AA$2:AA$1000)))*ISNUMBER(SEARCH("prioritization",LOWER(Z$2:Z$1000))))</f>
        <v>0</v>
      </c>
      <c r="FV13">
        <v>2023</v>
      </c>
      <c r="FW13" s="35" cm="1">
        <f t="array" ref="FW13">SUMPRODUCT((Y$2:Y$1000="PS")*(F$2:F$1000=FV13)*ISNUMBER(SEARCH("prioritization",LOWER(Z$2:Z$1000)))*ISNUMBER(SEARCH("coverage",LOWER(AA$2:AA$1000))))</f>
        <v>2</v>
      </c>
      <c r="FX13" s="35" cm="1">
        <f t="array" ref="FX13">SUMPRODUCT((Y$2:Y$1000="PS")*(F$2:F$1000=FV13)*ISNUMBER(SEARCH("prioritization",LOWER(Z$2:Z$1000)))*ISNUMBER(SEARCH("requirement",LOWER(AA$2:AA$1000))))</f>
        <v>0</v>
      </c>
      <c r="FY13" s="35" cm="1">
        <f t="array" ref="FY13">SUMPRODUCT((Y$2:Y$1000="PS")*(F$2:F$1000=FV13)*ISNUMBER(SEARCH("prioritization",LOWER(Z$2:Z$1000)))*ISNUMBER(SEARCH("probab",LOWER(AA$2:AA$1000))))</f>
        <v>1</v>
      </c>
      <c r="FZ13" s="35" cm="1">
        <f t="array" ref="FZ13">SUMPRODUCT((Y$2:Y$1000="PS")*(F$2:F$1000=FV13)*ISNUMBER(SEARCH("prioritization",LOWER(Z$2:Z$1000)))*ISNUMBER(SEARCH("distribution",LOWER(AA$2:AA$1000))))</f>
        <v>0</v>
      </c>
      <c r="GA13" s="35" cm="1">
        <f t="array" ref="GA13">SUMPRODUCT((Y$2:Y$1000="PS")*(F$2:F$1000=FV13)*ISNUMBER(SEARCH("prioritization",LOWER(Z$2:Z$1000)))*ISNUMBER(SEARCH("clustering",LOWER(AA$2:AA$1000))))</f>
        <v>0</v>
      </c>
      <c r="GB13" s="35" cm="1">
        <f t="array" ref="GB13">SUMPRODUCT((Y$2:Y$1000="PS")*(F$2:F$1000=FV13)*ISNUMBER(SEARCH("prioritization",LOWER(Z$2:Z$1000)))*ISNUMBER(SEARCH("history",LOWER(AA$2:AA$1000))))</f>
        <v>2</v>
      </c>
      <c r="GC13" s="35" cm="1">
        <f t="array" ref="GC13">SUMPRODUCT((Y$2:Y$1000="PS")*(F$2:F$1000=FV13)*ISNUMBER(SEARCH("prioritization",LOWER(Z$2:Z$1000)))*ISNUMBER(SEARCH("model",LOWER(AA$2:AA$1000))))</f>
        <v>1</v>
      </c>
      <c r="GD13" s="35" cm="1">
        <f t="array" ref="GD13">SUMPRODUCT((Y$2:Y$1000="PS")*(F$2:F$1000=FV13)*ISNUMBER(SEARCH("prioritization",LOWER(Z$2:Z$1000)))*ISNUMBER(SEARCH("cost-aware",LOWER(AA$2:AA$1000))))</f>
        <v>2</v>
      </c>
      <c r="GE13" s="35" cm="1">
        <f t="array" ref="GE13">SUMPRODUCT((Y$2:Y$1000="PS")*(F$2:F$1000=FV13)*ISNUMBER(SEARCH("prioritization",LOWER(Z$2:Z$1000)))*ISNUMBER(SEARCH("similarity",LOWER(AA$2:AA$1000))))</f>
        <v>0</v>
      </c>
      <c r="GF13" s="35" cm="1">
        <f t="array" ref="GF13">SUMPRODUCT((Y$2:Y$1000="PS")*(F$2:F$1000=FV13)*ISNUMBER(SEARCH("prioritization",LOWER(Z$2:Z$1000)))*ISNUMBER(SEARCH("input",LOWER(AA$2:AA$1000))))</f>
        <v>0</v>
      </c>
      <c r="GG13" s="35" cm="1">
        <f t="array" ref="GG13">SUMPRODUCT((Y$2:Y$1000="PS")*(F$2:F$1000=FV13)*ISNUMBER(SEARCH("prioritization",LOWER(Z$2:Z$1000)))*ISNUMBER(SEARCH("structure",LOWER(AA$2:AA$1000))))</f>
        <v>0</v>
      </c>
      <c r="GH13" s="35" cm="1">
        <f t="array" ref="GH13">SUMPRODUCT((Y$2:Y$1000="PS")*(F$2:F$1000=FV13)*ISNUMBER(SEARCH("prioritization",LOWER(Z$2:Z$1000)))*ISNUMBER(SEARCH("change",LOWER(AA$2:AA$1000))))</f>
        <v>0</v>
      </c>
      <c r="GI13" s="35" cm="1">
        <f t="array" ref="GI13">SUMPRODUCT((Y$2:Y$1000="PS")*(F$2:F$1000=FV13)*ISNUMBER(SEARCH("prioritization",LOWER(Z$2:Z$1000)))*ISNUMBER(SEARCH("ml",LOWER(AA$2:AA$1000))))</f>
        <v>0</v>
      </c>
      <c r="GJ13" s="35" cm="1">
        <f t="array" ref="GJ13">SUMPRODUCT((Y$2:Y$1000="PS")*(F$2:F$1000=FV13)*ISNUMBER(SEARCH("prioritization",LOWER(Z$2:Z$1000)))*ISNUMBER(SEARCH("heuristic",LOWER(AA$2:AA$1000))))</f>
        <v>0</v>
      </c>
      <c r="GK13" s="35" cm="1">
        <f t="array" ref="GK13">SUMPRODUCT((Y$2:Y$1000="PS")*(F$2:F$1000=FV13)*ISNUMBER(SEARCH("prioritization",LOWER(Z$2:Z$1000)))*ISNUMBER(SEARCH("search",LOWER(AA$2:AA$1000))))</f>
        <v>1</v>
      </c>
      <c r="GL13" s="35" cm="1">
        <f t="array" ref="GL13">SUMPRODUCT((Y$2:Y$1000="PS")*(F$2:F$1000=FV13)*ISNUMBER(SEARCH("prioritization",LOWER(Z$2:Z$1000)))*ISNUMBER(SEARCH("transfer",LOWER(AA$2:AA$1000))))</f>
        <v>0</v>
      </c>
      <c r="GM13" s="35" cm="1">
        <f t="array" ref="GM13">SUMPRODUCT((Y$2:Y$1000="PS")*(F$2:F$1000=FV13)*ISNUMBER(SEARCH("prioritization",LOWER(Z$2:Z$1000)))*ISNUMBER(SEARCH("riski",LOWER(AA$2:AA$1000))))</f>
        <v>0</v>
      </c>
      <c r="GN13" s="35" cm="1">
        <f t="array" ref="GN13">SUMPRODUCT((Y$2:Y$1000="PS")*(F$2:F$1000=FV13)*ISNUMBER(SEARCH("prioritization",LOWER(Z$2:Z$1000)))*ISNUMBER(SEARCH("nlp",LOWER(AA$2:AA$1000))))</f>
        <v>0</v>
      </c>
      <c r="GO13" s="35" cm="1">
        <f t="array" ref="GO13">SUMPRODUCT((Y$2:Y$1000="PS")*(F$2:F$1000=FV13)*ISNUMBER(SEARCH("prioritization",LOWER(Z$2:Z$1000)))*ISNUMBER(SEARCH("design",LOWER(AA$2:AA$1000))))</f>
        <v>0</v>
      </c>
      <c r="GP13" s="35" cm="1">
        <f t="array" ref="GP13">SUMPRODUCT((Y$2:Y$1000="PS")*(F$2:F$1000=FV13)*ISNUMBER(SEARCH("prioritization",LOWER(Z$2:Z$1000)))*ISNUMBER(SEARCH("other",LOWER(AA$2:AA$1000))))</f>
        <v>0</v>
      </c>
      <c r="GQ13">
        <f t="shared" si="7"/>
        <v>0</v>
      </c>
      <c r="GZ13">
        <v>2023</v>
      </c>
      <c r="HA13" cm="1">
        <f t="array" ref="HA13">SUMPRODUCT((Y$2:Y$1000="PS")*(F$2:F$1000=GZ13)*ISNUMBER(SEARCH("prioritization",LOWER(Z$2:Z$1000)))*ISNUMBER(SEARCH(LOWER("metaheuristic"),LOWER(AB$2:AB$1000))))</f>
        <v>0</v>
      </c>
      <c r="HB13" cm="1">
        <f t="array" ref="HB13">SUMPRODUCT((Y$2:Y$1000="PS")*(F$2:F$1000=GZ13)*ISNUMBER(SEARCH("prioritization",LOWER(Z$2:Z$1000)))*ISNUMBER(SEARCH(LOWER("search"),LOWER(AB$2:AB$1000))))</f>
        <v>0</v>
      </c>
      <c r="HC13" cm="1">
        <f t="array" ref="HC13">SUMPRODUCT((Y$2:Y$1000="PS")*(F$2:F$1000=GZ13)*ISNUMBER(SEARCH("prioritization",LOWER(Z$2:Z$1000)))*ISNUMBER(SEARCH(LOWER("heuristic"),LOWER(AB$2:AB$1000))))</f>
        <v>5</v>
      </c>
      <c r="HD13" cm="1">
        <f t="array" ref="HD13">SUMPRODUCT((Y$2:Y$1000="PS")*(F$2:F$1000=GZ13)*ISNUMBER(SEARCH("prioritization",LOWER(Z$2:Z$1000)))*ISNUMBER(SEARCH(LOWER("ml"),LOWER(AB$2:AB$1000))))</f>
        <v>2</v>
      </c>
      <c r="HE13" cm="1">
        <f t="array" ref="HE13">SUMPRODUCT((Y$2:Y$1000="PS")*(F$2:F$1000=GZ13)*ISNUMBER(SEARCH("prioritization",LOWER(Z$2:Z$1000)))*ISNUMBER(SEARCH(LOWER("rule"),LOWER(AB$2:AB$1000))))</f>
        <v>0</v>
      </c>
      <c r="HF13" cm="1">
        <f t="array" ref="HF13">SUMPRODUCT((Y$2:Y$1000="PS")*(F$2:F$1000=GZ13)*ISNUMBER(SEARCH("prioritization",LOWER(Z$2:Z$1000)))*ISNUMBER(SEARCH(LOWER(HF$2),LOWER(AB$2:AB$1000))))</f>
        <v>0</v>
      </c>
      <c r="HG13" cm="1">
        <f t="array" ref="HG13">SUMPRODUCT((Y$2:Y$1000="PS")*(F$2:F$1000=GZ13)*ISNUMBER(SEARCH("prioritization",LOWER(Z$2:Z$1000)))*ISNUMBER(SEARCH(LOWER("model"),LOWER(AB$2:AB$1000))))</f>
        <v>0</v>
      </c>
      <c r="HH13" cm="1">
        <f t="array" ref="HH13">SUMPRODUCT((Y$2:Y$1000="PS")*(F$2:F$1000=GZ13)*ISNUMBER(SEARCH("prioritization",LOWER(Z$2:Z$1000)))*ISNUMBER(SEARCH(LOWER(HH$2),LOWER(AB$2:AB$1000))))</f>
        <v>0</v>
      </c>
      <c r="HI13" cm="1">
        <f t="array" ref="HI13">SUMPRODUCT((Y$2:Y$1000="PS")*(F$2:F$1000=GZ13)*ISNUMBER(SEARCH("prioritization",LOWER(Z$2:Z$1000)))*ISNUMBER(SEARCH(LOWER("quantum"),LOWER(AB$2:AB$1000))))</f>
        <v>0</v>
      </c>
      <c r="HJ13" cm="1">
        <f t="array" ref="HJ13">SUMPRODUCT((Y$2:Y$1000="PS")*(F$2:F$1000=GZ13)*ISNUMBER(SEARCH("prioritization",LOWER(Z$2:Z$1000)))*ISNUMBER(SEARCH(LOWER("genetic"),LOWER(AB$2:AB$1000))))</f>
        <v>0</v>
      </c>
      <c r="HK13" cm="1">
        <f t="array" ref="HK13">SUMPRODUCT((Y$2:Y$1000="PS")*(F$2:F$1000=GZ13)*ISNUMBER(SEARCH("prioritization",LOWER(Z$2:Z$1000)))*ISNUMBER(SEARCH(LOWER("graph"),LOWER(AB$2:AB$1000))))</f>
        <v>0</v>
      </c>
      <c r="HL13" cm="1">
        <f t="array" ref="HL13">SUMPRODUCT((Y$2:Y$1000="PS")*(F$2:F$1000=GZ13)*ISNUMBER(SEARCH("prioritization",LOWER(Z$2:Z$1000)))*ISNUMBER(SEARCH(LOWER("greedy"),LOWER(AB$2:AB$1000))))</f>
        <v>0</v>
      </c>
      <c r="HM13" cm="1">
        <f t="array" ref="HM13">SUMPRODUCT((Y$2:Y$1000="PS")*(F$2:F$1000=GZ13)*ISNUMBER(SEARCH("prioritization",LOWER(Z$2:Z$1000)))*ISNUMBER(SEARCH(LOWER("dynamic"),LOWER(AB$2:AB$1000))))</f>
        <v>0</v>
      </c>
    </row>
    <row r="14" spans="1:221" ht="409.6">
      <c r="A14" s="2">
        <v>7273420</v>
      </c>
      <c r="B14" s="2" t="s">
        <v>34</v>
      </c>
      <c r="C14" s="2" t="s">
        <v>198</v>
      </c>
      <c r="D14" s="2" t="s">
        <v>148</v>
      </c>
      <c r="E14" s="2" t="s">
        <v>199</v>
      </c>
      <c r="F14" s="2">
        <v>2015</v>
      </c>
      <c r="G14" s="2">
        <v>3</v>
      </c>
      <c r="H14" s="2"/>
      <c r="I14" s="2" t="s">
        <v>200</v>
      </c>
      <c r="J14" s="2" t="s">
        <v>201</v>
      </c>
      <c r="K14" s="2" t="s">
        <v>202</v>
      </c>
      <c r="L14" s="2" t="s">
        <v>203</v>
      </c>
      <c r="M14" s="2" t="s">
        <v>55</v>
      </c>
      <c r="N14" s="2" t="s">
        <v>56</v>
      </c>
      <c r="O14" s="2"/>
      <c r="P14" s="2"/>
      <c r="Q14" s="2"/>
      <c r="R14" s="2"/>
      <c r="S14" s="2"/>
      <c r="T14" s="2"/>
      <c r="U14" s="2"/>
      <c r="V14" s="2"/>
      <c r="W14" s="2"/>
      <c r="X14" s="2" t="s">
        <v>204</v>
      </c>
      <c r="Y14" s="2" t="s">
        <v>58</v>
      </c>
      <c r="Z14" s="2" t="s">
        <v>205</v>
      </c>
      <c r="AA14" s="2" t="s">
        <v>206</v>
      </c>
      <c r="AB14" s="2" t="s">
        <v>207</v>
      </c>
      <c r="AC14" s="2" t="s">
        <v>208</v>
      </c>
      <c r="AD14" s="2" t="s">
        <v>209</v>
      </c>
      <c r="AE14" s="2" t="s">
        <v>210</v>
      </c>
      <c r="AF14" s="2" t="s">
        <v>65</v>
      </c>
      <c r="AG14" s="2" t="s">
        <v>94</v>
      </c>
      <c r="AH14" s="2">
        <v>0</v>
      </c>
      <c r="AK14">
        <f t="shared" si="5"/>
        <v>1</v>
      </c>
      <c r="AL14">
        <f t="shared" si="0"/>
        <v>0</v>
      </c>
      <c r="AM14">
        <f t="shared" si="1"/>
        <v>0</v>
      </c>
      <c r="AN14">
        <f t="shared" si="2"/>
        <v>1</v>
      </c>
      <c r="AP14">
        <v>2024</v>
      </c>
      <c r="AQ14">
        <f t="shared" si="8"/>
        <v>7</v>
      </c>
      <c r="AR14">
        <f t="shared" si="3"/>
        <v>1</v>
      </c>
      <c r="AS14">
        <f t="shared" si="6"/>
        <v>1</v>
      </c>
      <c r="AT14">
        <f t="shared" si="4"/>
        <v>5</v>
      </c>
      <c r="CN14">
        <v>2024</v>
      </c>
      <c r="CO14" cm="1">
        <f t="array" ref="CO14">SUMPRODUCT((Y$2:Y$1000="PS")*(F$2:F$1000=$CN14)*(AH$2:AH$1000=0))</f>
        <v>2</v>
      </c>
      <c r="CP14" cm="1">
        <f t="array" ref="CP14">SUMPRODUCT((Y$2:Y$1000="PS")*(F$2:F$1000=$CN14)*(AH$2:AH$1000=0.5))</f>
        <v>2</v>
      </c>
      <c r="CQ14" cm="1">
        <f t="array" ref="CQ14">SUMPRODUCT((Y$2:Y$1000="PS")*(F$2:F$1000=$CN14)*(AH$2:AH$1000=1))</f>
        <v>3</v>
      </c>
      <c r="CZ14" s="34"/>
      <c r="DH14" s="34"/>
      <c r="DI14" s="34"/>
      <c r="FQ14" t="s">
        <v>1280</v>
      </c>
      <c r="FR14" s="35" cm="1">
        <f t="array" ref="FR14">SUMPRODUCT((Y$2:Y$1000="PS")*ISNUMBER(SEARCH(LOWER(FQ14),LOWER(AA$2:AA$1000)))*ISNUMBER(SEARCH("prioritization",LOWER(Z$2:Z$1000))))</f>
        <v>0</v>
      </c>
      <c r="FV14">
        <v>2024</v>
      </c>
      <c r="FW14" s="35" cm="1">
        <f t="array" ref="FW14">SUMPRODUCT((Y$2:Y$1000="PS")*(F$2:F$1000=FV14)*ISNUMBER(SEARCH("prioritization",LOWER(Z$2:Z$1000)))*ISNUMBER(SEARCH("coverage",LOWER(AA$2:AA$1000))))</f>
        <v>2</v>
      </c>
      <c r="FX14" s="35" cm="1">
        <f t="array" ref="FX14">SUMPRODUCT((Y$2:Y$1000="PS")*(F$2:F$1000=FV14)*ISNUMBER(SEARCH("prioritization",LOWER(Z$2:Z$1000)))*ISNUMBER(SEARCH("requirement",LOWER(AA$2:AA$1000))))</f>
        <v>0</v>
      </c>
      <c r="FY14" s="35" cm="1">
        <f t="array" ref="FY14">SUMPRODUCT((Y$2:Y$1000="PS")*(F$2:F$1000=FV14)*ISNUMBER(SEARCH("prioritization",LOWER(Z$2:Z$1000)))*ISNUMBER(SEARCH("probab",LOWER(AA$2:AA$1000))))</f>
        <v>0</v>
      </c>
      <c r="FZ14" s="35" cm="1">
        <f t="array" ref="FZ14">SUMPRODUCT((Y$2:Y$1000="PS")*(F$2:F$1000=FV14)*ISNUMBER(SEARCH("prioritization",LOWER(Z$2:Z$1000)))*ISNUMBER(SEARCH("distribution",LOWER(AA$2:AA$1000))))</f>
        <v>0</v>
      </c>
      <c r="GA14" s="35" cm="1">
        <f t="array" ref="GA14">SUMPRODUCT((Y$2:Y$1000="PS")*(F$2:F$1000=FV14)*ISNUMBER(SEARCH("prioritization",LOWER(Z$2:Z$1000)))*ISNUMBER(SEARCH("clustering",LOWER(AA$2:AA$1000))))</f>
        <v>1</v>
      </c>
      <c r="GB14" s="35" cm="1">
        <f t="array" ref="GB14">SUMPRODUCT((Y$2:Y$1000="PS")*(F$2:F$1000=FV14)*ISNUMBER(SEARCH("prioritization",LOWER(Z$2:Z$1000)))*ISNUMBER(SEARCH("history",LOWER(AA$2:AA$1000))))</f>
        <v>2</v>
      </c>
      <c r="GC14" s="35" cm="1">
        <f t="array" ref="GC14">SUMPRODUCT((Y$2:Y$1000="PS")*(F$2:F$1000=FV14)*ISNUMBER(SEARCH("prioritization",LOWER(Z$2:Z$1000)))*ISNUMBER(SEARCH("model",LOWER(AA$2:AA$1000))))</f>
        <v>0</v>
      </c>
      <c r="GD14" s="35" cm="1">
        <f t="array" ref="GD14">SUMPRODUCT((Y$2:Y$1000="PS")*(F$2:F$1000=FV14)*ISNUMBER(SEARCH("prioritization",LOWER(Z$2:Z$1000)))*ISNUMBER(SEARCH("cost-aware",LOWER(AA$2:AA$1000))))</f>
        <v>0</v>
      </c>
      <c r="GE14" s="35" cm="1">
        <f t="array" ref="GE14">SUMPRODUCT((Y$2:Y$1000="PS")*(F$2:F$1000=FV14)*ISNUMBER(SEARCH("prioritization",LOWER(Z$2:Z$1000)))*ISNUMBER(SEARCH("similarity",LOWER(AA$2:AA$1000))))</f>
        <v>0</v>
      </c>
      <c r="GF14" s="35" cm="1">
        <f t="array" ref="GF14">SUMPRODUCT((Y$2:Y$1000="PS")*(F$2:F$1000=FV14)*ISNUMBER(SEARCH("prioritization",LOWER(Z$2:Z$1000)))*ISNUMBER(SEARCH("input",LOWER(AA$2:AA$1000))))</f>
        <v>0</v>
      </c>
      <c r="GG14" s="35" cm="1">
        <f t="array" ref="GG14">SUMPRODUCT((Y$2:Y$1000="PS")*(F$2:F$1000=FV14)*ISNUMBER(SEARCH("prioritization",LOWER(Z$2:Z$1000)))*ISNUMBER(SEARCH("structure",LOWER(AA$2:AA$1000))))</f>
        <v>0</v>
      </c>
      <c r="GH14" s="35" cm="1">
        <f t="array" ref="GH14">SUMPRODUCT((Y$2:Y$1000="PS")*(F$2:F$1000=FV14)*ISNUMBER(SEARCH("prioritization",LOWER(Z$2:Z$1000)))*ISNUMBER(SEARCH("change",LOWER(AA$2:AA$1000))))</f>
        <v>0</v>
      </c>
      <c r="GI14" s="35" cm="1">
        <f t="array" ref="GI14">SUMPRODUCT((Y$2:Y$1000="PS")*(F$2:F$1000=FV14)*ISNUMBER(SEARCH("prioritization",LOWER(Z$2:Z$1000)))*ISNUMBER(SEARCH("ml",LOWER(AA$2:AA$1000))))</f>
        <v>0</v>
      </c>
      <c r="GJ14" s="35" cm="1">
        <f t="array" ref="GJ14">SUMPRODUCT((Y$2:Y$1000="PS")*(F$2:F$1000=FV14)*ISNUMBER(SEARCH("prioritization",LOWER(Z$2:Z$1000)))*ISNUMBER(SEARCH("heuristic",LOWER(AA$2:AA$1000))))</f>
        <v>0</v>
      </c>
      <c r="GK14" s="35" cm="1">
        <f t="array" ref="GK14">SUMPRODUCT((Y$2:Y$1000="PS")*(F$2:F$1000=FV14)*ISNUMBER(SEARCH("prioritization",LOWER(Z$2:Z$1000)))*ISNUMBER(SEARCH("search",LOWER(AA$2:AA$1000))))</f>
        <v>0</v>
      </c>
      <c r="GL14" s="35" cm="1">
        <f t="array" ref="GL14">SUMPRODUCT((Y$2:Y$1000="PS")*(F$2:F$1000=FV14)*ISNUMBER(SEARCH("prioritization",LOWER(Z$2:Z$1000)))*ISNUMBER(SEARCH("transfer",LOWER(AA$2:AA$1000))))</f>
        <v>0</v>
      </c>
      <c r="GM14" s="35" cm="1">
        <f t="array" ref="GM14">SUMPRODUCT((Y$2:Y$1000="PS")*(F$2:F$1000=FV14)*ISNUMBER(SEARCH("prioritization",LOWER(Z$2:Z$1000)))*ISNUMBER(SEARCH("riski",LOWER(AA$2:AA$1000))))</f>
        <v>0</v>
      </c>
      <c r="GN14" s="35" cm="1">
        <f t="array" ref="GN14">SUMPRODUCT((Y$2:Y$1000="PS")*(F$2:F$1000=FV14)*ISNUMBER(SEARCH("prioritization",LOWER(Z$2:Z$1000)))*ISNUMBER(SEARCH("nlp",LOWER(AA$2:AA$1000))))</f>
        <v>0</v>
      </c>
      <c r="GO14" s="35" cm="1">
        <f t="array" ref="GO14">SUMPRODUCT((Y$2:Y$1000="PS")*(F$2:F$1000=FV14)*ISNUMBER(SEARCH("prioritization",LOWER(Z$2:Z$1000)))*ISNUMBER(SEARCH("design",LOWER(AA$2:AA$1000))))</f>
        <v>0</v>
      </c>
      <c r="GP14" s="35" cm="1">
        <f t="array" ref="GP14">SUMPRODUCT((Y$2:Y$1000="PS")*(F$2:F$1000=FV14)*ISNUMBER(SEARCH("prioritization",LOWER(Z$2:Z$1000)))*ISNUMBER(SEARCH("other",LOWER(AA$2:AA$1000))))</f>
        <v>0</v>
      </c>
      <c r="GQ14">
        <f t="shared" si="7"/>
        <v>0</v>
      </c>
      <c r="GZ14">
        <v>2024</v>
      </c>
      <c r="HA14" cm="1">
        <f t="array" ref="HA14">SUMPRODUCT((Y$2:Y$1000="PS")*(F$2:F$1000=GZ14)*ISNUMBER(SEARCH("prioritization",LOWER(Z$2:Z$1000)))*ISNUMBER(SEARCH(LOWER("metaheuristic"),LOWER(AB$2:AB$1000))))</f>
        <v>0</v>
      </c>
      <c r="HB14" cm="1">
        <f t="array" ref="HB14">SUMPRODUCT((Y$2:Y$1000="PS")*(F$2:F$1000=GZ14)*ISNUMBER(SEARCH("prioritization",LOWER(Z$2:Z$1000)))*ISNUMBER(SEARCH(LOWER("search"),LOWER(AB$2:AB$1000))))</f>
        <v>0</v>
      </c>
      <c r="HC14" cm="1">
        <f t="array" ref="HC14">SUMPRODUCT((Y$2:Y$1000="PS")*(F$2:F$1000=GZ14)*ISNUMBER(SEARCH("prioritization",LOWER(Z$2:Z$1000)))*ISNUMBER(SEARCH(LOWER("heuristic"),LOWER(AB$2:AB$1000))))</f>
        <v>4</v>
      </c>
      <c r="HD14" cm="1">
        <f t="array" ref="HD14">SUMPRODUCT((Y$2:Y$1000="PS")*(F$2:F$1000=GZ14)*ISNUMBER(SEARCH("prioritization",LOWER(Z$2:Z$1000)))*ISNUMBER(SEARCH(LOWER("ml"),LOWER(AB$2:AB$1000))))</f>
        <v>2</v>
      </c>
      <c r="HE14" cm="1">
        <f t="array" ref="HE14">SUMPRODUCT((Y$2:Y$1000="PS")*(F$2:F$1000=GZ14)*ISNUMBER(SEARCH("prioritization",LOWER(Z$2:Z$1000)))*ISNUMBER(SEARCH(LOWER("rule"),LOWER(AB$2:AB$1000))))</f>
        <v>0</v>
      </c>
      <c r="HF14" cm="1">
        <f t="array" ref="HF14">SUMPRODUCT((Y$2:Y$1000="PS")*(F$2:F$1000=GZ14)*ISNUMBER(SEARCH("prioritization",LOWER(Z$2:Z$1000)))*ISNUMBER(SEARCH(LOWER(HF$2),LOWER(AB$2:AB$1000))))</f>
        <v>0</v>
      </c>
      <c r="HG14" cm="1">
        <f t="array" ref="HG14">SUMPRODUCT((Y$2:Y$1000="PS")*(F$2:F$1000=GZ14)*ISNUMBER(SEARCH("prioritization",LOWER(Z$2:Z$1000)))*ISNUMBER(SEARCH(LOWER("model"),LOWER(AB$2:AB$1000))))</f>
        <v>0</v>
      </c>
      <c r="HH14" cm="1">
        <f t="array" ref="HH14">SUMPRODUCT((Y$2:Y$1000="PS")*(F$2:F$1000=GZ14)*ISNUMBER(SEARCH("prioritization",LOWER(Z$2:Z$1000)))*ISNUMBER(SEARCH(LOWER(HH$2),LOWER(AB$2:AB$1000))))</f>
        <v>0</v>
      </c>
      <c r="HI14" cm="1">
        <f t="array" ref="HI14">SUMPRODUCT((Y$2:Y$1000="PS")*(F$2:F$1000=GZ14)*ISNUMBER(SEARCH("prioritization",LOWER(Z$2:Z$1000)))*ISNUMBER(SEARCH(LOWER("quantum"),LOWER(AB$2:AB$1000))))</f>
        <v>0</v>
      </c>
      <c r="HJ14" cm="1">
        <f t="array" ref="HJ14">SUMPRODUCT((Y$2:Y$1000="PS")*(F$2:F$1000=GZ14)*ISNUMBER(SEARCH("prioritization",LOWER(Z$2:Z$1000)))*ISNUMBER(SEARCH(LOWER("genetic"),LOWER(AB$2:AB$1000))))</f>
        <v>0</v>
      </c>
      <c r="HK14" cm="1">
        <f t="array" ref="HK14">SUMPRODUCT((Y$2:Y$1000="PS")*(F$2:F$1000=GZ14)*ISNUMBER(SEARCH("prioritization",LOWER(Z$2:Z$1000)))*ISNUMBER(SEARCH(LOWER("graph"),LOWER(AB$2:AB$1000))))</f>
        <v>0</v>
      </c>
      <c r="HL14" cm="1">
        <f t="array" ref="HL14">SUMPRODUCT((Y$2:Y$1000="PS")*(F$2:F$1000=GZ14)*ISNUMBER(SEARCH("prioritization",LOWER(Z$2:Z$1000)))*ISNUMBER(SEARCH(LOWER("greedy"),LOWER(AB$2:AB$1000))))</f>
        <v>0</v>
      </c>
      <c r="HM14" cm="1">
        <f t="array" ref="HM14">SUMPRODUCT((Y$2:Y$1000="PS")*(F$2:F$1000=GZ14)*ISNUMBER(SEARCH("prioritization",LOWER(Z$2:Z$1000)))*ISNUMBER(SEARCH(LOWER("dynamic"),LOWER(AB$2:AB$1000))))</f>
        <v>0</v>
      </c>
    </row>
    <row r="15" spans="1:221" ht="409.6">
      <c r="A15" s="2">
        <v>9787970</v>
      </c>
      <c r="B15" s="2" t="s">
        <v>34</v>
      </c>
      <c r="C15" s="2" t="s">
        <v>211</v>
      </c>
      <c r="D15" s="2" t="s">
        <v>212</v>
      </c>
      <c r="E15" s="2" t="s">
        <v>213</v>
      </c>
      <c r="F15" s="2">
        <v>2022</v>
      </c>
      <c r="G15" s="2"/>
      <c r="H15" s="2"/>
      <c r="I15" s="2" t="s">
        <v>214</v>
      </c>
      <c r="J15" s="2" t="s">
        <v>215</v>
      </c>
      <c r="K15" s="2" t="s">
        <v>216</v>
      </c>
      <c r="L15" s="2" t="s">
        <v>217</v>
      </c>
      <c r="M15" s="2" t="s">
        <v>218</v>
      </c>
      <c r="N15" s="2" t="s">
        <v>139</v>
      </c>
      <c r="O15" s="2"/>
      <c r="P15" s="2"/>
      <c r="Q15" s="2"/>
      <c r="R15" s="2"/>
      <c r="S15" s="2"/>
      <c r="T15" s="2"/>
      <c r="U15" s="2"/>
      <c r="V15" s="2"/>
      <c r="W15" s="2"/>
      <c r="X15" s="2" t="s">
        <v>219</v>
      </c>
      <c r="Y15" s="2" t="s">
        <v>58</v>
      </c>
      <c r="Z15" s="2" t="s">
        <v>220</v>
      </c>
      <c r="AA15" s="2" t="s">
        <v>142</v>
      </c>
      <c r="AB15" s="2" t="s">
        <v>207</v>
      </c>
      <c r="AC15" s="2" t="s">
        <v>208</v>
      </c>
      <c r="AD15" s="2" t="s">
        <v>221</v>
      </c>
      <c r="AE15" s="2" t="s">
        <v>222</v>
      </c>
      <c r="AF15" s="2"/>
      <c r="AG15" s="2" t="s">
        <v>223</v>
      </c>
      <c r="AH15" s="2">
        <v>0.5</v>
      </c>
      <c r="AK15">
        <f t="shared" si="5"/>
        <v>1</v>
      </c>
      <c r="AL15">
        <f t="shared" si="0"/>
        <v>0</v>
      </c>
      <c r="AM15">
        <f t="shared" si="1"/>
        <v>0</v>
      </c>
      <c r="AN15">
        <f t="shared" si="2"/>
        <v>1</v>
      </c>
      <c r="AP15">
        <v>2025</v>
      </c>
      <c r="AQ15">
        <f t="shared" si="8"/>
        <v>1</v>
      </c>
      <c r="AR15">
        <f t="shared" si="3"/>
        <v>0</v>
      </c>
      <c r="AS15">
        <f t="shared" si="6"/>
        <v>1</v>
      </c>
      <c r="AT15">
        <f t="shared" si="4"/>
        <v>0</v>
      </c>
      <c r="CN15">
        <v>2025</v>
      </c>
      <c r="CO15" cm="1">
        <f t="array" ref="CO15">SUMPRODUCT((Y$2:Y$1000="PS")*(F$2:F$1000=$CN15)*(AH$2:AH$1000=0))</f>
        <v>0</v>
      </c>
      <c r="CP15" cm="1">
        <f t="array" ref="CP15">SUMPRODUCT((Y$2:Y$1000="PS")*(F$2:F$1000=$CN15)*(AH$2:AH$1000=0.5))</f>
        <v>1</v>
      </c>
      <c r="CQ15" cm="1">
        <f t="array" ref="CQ15">SUMPRODUCT((Y$2:Y$1000="PS")*(F$2:F$1000=$CN15)*(AH$2:AH$1000=1))</f>
        <v>0</v>
      </c>
      <c r="CZ15" s="34"/>
      <c r="DH15" s="34"/>
      <c r="DI15" s="34"/>
      <c r="FQ15" t="s">
        <v>1281</v>
      </c>
      <c r="FR15" s="35" cm="1">
        <f t="array" ref="FR15">SUMPRODUCT((Y$2:Y$1000="PS")*ISNUMBER(SEARCH(LOWER(FQ15),LOWER(AA$2:AA$1000)))*ISNUMBER(SEARCH("prioritization",LOWER(Z$2:Z$1000))))</f>
        <v>0</v>
      </c>
      <c r="FV15">
        <v>2025</v>
      </c>
      <c r="FW15" s="35" cm="1">
        <f t="array" ref="FW15">SUMPRODUCT((Y$2:Y$1000="PS")*(F$2:F$1000=FV15)*ISNUMBER(SEARCH("prioritization",LOWER(Z$2:Z$1000)))*ISNUMBER(SEARCH("coverage",LOWER(AA$2:AA$1000))))</f>
        <v>0</v>
      </c>
      <c r="FX15" s="35" cm="1">
        <f t="array" ref="FX15">SUMPRODUCT((Y$2:Y$1000="PS")*(F$2:F$1000=FV15)*ISNUMBER(SEARCH("prioritization",LOWER(Z$2:Z$1000)))*ISNUMBER(SEARCH("requirement",LOWER(AA$2:AA$1000))))</f>
        <v>0</v>
      </c>
      <c r="FY15" s="35" cm="1">
        <f t="array" ref="FY15">SUMPRODUCT((Y$2:Y$1000="PS")*(F$2:F$1000=FV15)*ISNUMBER(SEARCH("prioritization",LOWER(Z$2:Z$1000)))*ISNUMBER(SEARCH("probab",LOWER(AA$2:AA$1000))))</f>
        <v>0</v>
      </c>
      <c r="FZ15" s="35" cm="1">
        <f t="array" ref="FZ15">SUMPRODUCT((Y$2:Y$1000="PS")*(F$2:F$1000=FV15)*ISNUMBER(SEARCH("prioritization",LOWER(Z$2:Z$1000)))*ISNUMBER(SEARCH("distribution",LOWER(AA$2:AA$1000))))</f>
        <v>0</v>
      </c>
      <c r="GA15" s="35" cm="1">
        <f t="array" ref="GA15">SUMPRODUCT((Y$2:Y$1000="PS")*(F$2:F$1000=FV15)*ISNUMBER(SEARCH("prioritization",LOWER(Z$2:Z$1000)))*ISNUMBER(SEARCH("clustering",LOWER(AA$2:AA$1000))))</f>
        <v>0</v>
      </c>
      <c r="GB15" s="35" cm="1">
        <f t="array" ref="GB15">SUMPRODUCT((Y$2:Y$1000="PS")*(F$2:F$1000=FV15)*ISNUMBER(SEARCH("prioritization",LOWER(Z$2:Z$1000)))*ISNUMBER(SEARCH("history",LOWER(AA$2:AA$1000))))</f>
        <v>0</v>
      </c>
      <c r="GC15" s="35" cm="1">
        <f t="array" ref="GC15">SUMPRODUCT((Y$2:Y$1000="PS")*(F$2:F$1000=FV15)*ISNUMBER(SEARCH("prioritization",LOWER(Z$2:Z$1000)))*ISNUMBER(SEARCH("model",LOWER(AA$2:AA$1000))))</f>
        <v>0</v>
      </c>
      <c r="GD15" s="35" cm="1">
        <f t="array" ref="GD15">SUMPRODUCT((Y$2:Y$1000="PS")*(F$2:F$1000=FV15)*ISNUMBER(SEARCH("prioritization",LOWER(Z$2:Z$1000)))*ISNUMBER(SEARCH("cost-aware",LOWER(AA$2:AA$1000))))</f>
        <v>0</v>
      </c>
      <c r="GE15" s="35" cm="1">
        <f t="array" ref="GE15">SUMPRODUCT((Y$2:Y$1000="PS")*(F$2:F$1000=FV15)*ISNUMBER(SEARCH("prioritization",LOWER(Z$2:Z$1000)))*ISNUMBER(SEARCH("similarity",LOWER(AA$2:AA$1000))))</f>
        <v>0</v>
      </c>
      <c r="GF15" s="35" cm="1">
        <f t="array" ref="GF15">SUMPRODUCT((Y$2:Y$1000="PS")*(F$2:F$1000=FV15)*ISNUMBER(SEARCH("prioritization",LOWER(Z$2:Z$1000)))*ISNUMBER(SEARCH("input",LOWER(AA$2:AA$1000))))</f>
        <v>0</v>
      </c>
      <c r="GG15" s="35" cm="1">
        <f t="array" ref="GG15">SUMPRODUCT((Y$2:Y$1000="PS")*(F$2:F$1000=FV15)*ISNUMBER(SEARCH("prioritization",LOWER(Z$2:Z$1000)))*ISNUMBER(SEARCH("structure",LOWER(AA$2:AA$1000))))</f>
        <v>0</v>
      </c>
      <c r="GH15" s="35" cm="1">
        <f t="array" ref="GH15">SUMPRODUCT((Y$2:Y$1000="PS")*(F$2:F$1000=FV15)*ISNUMBER(SEARCH("prioritization",LOWER(Z$2:Z$1000)))*ISNUMBER(SEARCH("change",LOWER(AA$2:AA$1000))))</f>
        <v>0</v>
      </c>
      <c r="GI15" s="35" cm="1">
        <f t="array" ref="GI15">SUMPRODUCT((Y$2:Y$1000="PS")*(F$2:F$1000=FV15)*ISNUMBER(SEARCH("prioritization",LOWER(Z$2:Z$1000)))*ISNUMBER(SEARCH("ml",LOWER(AA$2:AA$1000))))</f>
        <v>0</v>
      </c>
      <c r="GJ15" s="35" cm="1">
        <f t="array" ref="GJ15">SUMPRODUCT((Y$2:Y$1000="PS")*(F$2:F$1000=FV15)*ISNUMBER(SEARCH("prioritization",LOWER(Z$2:Z$1000)))*ISNUMBER(SEARCH("heuristic",LOWER(AA$2:AA$1000))))</f>
        <v>0</v>
      </c>
      <c r="GK15" s="35" cm="1">
        <f t="array" ref="GK15">SUMPRODUCT((Y$2:Y$1000="PS")*(F$2:F$1000=FV15)*ISNUMBER(SEARCH("prioritization",LOWER(Z$2:Z$1000)))*ISNUMBER(SEARCH("search",LOWER(AA$2:AA$1000))))</f>
        <v>0</v>
      </c>
      <c r="GL15" s="35" cm="1">
        <f t="array" ref="GL15">SUMPRODUCT((Y$2:Y$1000="PS")*(F$2:F$1000=FV15)*ISNUMBER(SEARCH("prioritization",LOWER(Z$2:Z$1000)))*ISNUMBER(SEARCH("transfer",LOWER(AA$2:AA$1000))))</f>
        <v>0</v>
      </c>
      <c r="GM15" s="35" cm="1">
        <f t="array" ref="GM15">SUMPRODUCT((Y$2:Y$1000="PS")*(F$2:F$1000=FV15)*ISNUMBER(SEARCH("prioritization",LOWER(Z$2:Z$1000)))*ISNUMBER(SEARCH("riski",LOWER(AA$2:AA$1000))))</f>
        <v>0</v>
      </c>
      <c r="GN15" s="35" cm="1">
        <f t="array" ref="GN15">SUMPRODUCT((Y$2:Y$1000="PS")*(F$2:F$1000=FV15)*ISNUMBER(SEARCH("prioritization",LOWER(Z$2:Z$1000)))*ISNUMBER(SEARCH("nlp",LOWER(AA$2:AA$1000))))</f>
        <v>0</v>
      </c>
      <c r="GO15" s="35" cm="1">
        <f t="array" ref="GO15">SUMPRODUCT((Y$2:Y$1000="PS")*(F$2:F$1000=FV15)*ISNUMBER(SEARCH("prioritization",LOWER(Z$2:Z$1000)))*ISNUMBER(SEARCH("design",LOWER(AA$2:AA$1000))))</f>
        <v>0</v>
      </c>
      <c r="GP15" s="35" cm="1">
        <f t="array" ref="GP15">SUMPRODUCT((Y$2:Y$1000="PS")*(F$2:F$1000=FV15)*ISNUMBER(SEARCH("prioritization",LOWER(Z$2:Z$1000)))*ISNUMBER(SEARCH("other",LOWER(AA$2:AA$1000))))</f>
        <v>0</v>
      </c>
      <c r="GQ15">
        <f t="shared" si="7"/>
        <v>0</v>
      </c>
      <c r="GZ15">
        <v>2025</v>
      </c>
      <c r="HA15" cm="1">
        <f t="array" ref="HA15">SUMPRODUCT((Y$2:Y$1000="PS")*(F$2:F$1000=GZ15)*ISNUMBER(SEARCH("prioritization",LOWER(Z$2:Z$1000)))*ISNUMBER(SEARCH(LOWER("metaheuristic"),LOWER(AB$2:AB$1000))))</f>
        <v>0</v>
      </c>
      <c r="HB15" cm="1">
        <f t="array" ref="HB15">SUMPRODUCT((Y$2:Y$1000="PS")*(F$2:F$1000=GZ15)*ISNUMBER(SEARCH("prioritization",LOWER(Z$2:Z$1000)))*ISNUMBER(SEARCH(LOWER("search"),LOWER(AB$2:AB$1000))))</f>
        <v>0</v>
      </c>
      <c r="HC15" cm="1">
        <f t="array" ref="HC15">SUMPRODUCT((Y$2:Y$1000="PS")*(F$2:F$1000=GZ15)*ISNUMBER(SEARCH("prioritization",LOWER(Z$2:Z$1000)))*ISNUMBER(SEARCH(LOWER("heuristic"),LOWER(AB$2:AB$1000))))</f>
        <v>0</v>
      </c>
      <c r="HD15" cm="1">
        <f t="array" ref="HD15">SUMPRODUCT((Y$2:Y$1000="PS")*(F$2:F$1000=GZ15)*ISNUMBER(SEARCH("prioritization",LOWER(Z$2:Z$1000)))*ISNUMBER(SEARCH(LOWER("ml"),LOWER(AB$2:AB$1000))))</f>
        <v>0</v>
      </c>
      <c r="HE15" cm="1">
        <f t="array" ref="HE15">SUMPRODUCT((Y$2:Y$1000="PS")*(F$2:F$1000=GZ15)*ISNUMBER(SEARCH("prioritization",LOWER(Z$2:Z$1000)))*ISNUMBER(SEARCH(LOWER("rule"),LOWER(AB$2:AB$1000))))</f>
        <v>0</v>
      </c>
      <c r="HF15" cm="1">
        <f t="array" ref="HF15">SUMPRODUCT((Y$2:Y$1000="PS")*(F$2:F$1000=GZ15)*ISNUMBER(SEARCH("prioritization",LOWER(Z$2:Z$1000)))*ISNUMBER(SEARCH(LOWER(HF$2),LOWER(AB$2:AB$1000))))</f>
        <v>0</v>
      </c>
      <c r="HG15" cm="1">
        <f t="array" ref="HG15">SUMPRODUCT((Y$2:Y$1000="PS")*(F$2:F$1000=GZ15)*ISNUMBER(SEARCH("prioritization",LOWER(Z$2:Z$1000)))*ISNUMBER(SEARCH(LOWER("model"),LOWER(AB$2:AB$1000))))</f>
        <v>0</v>
      </c>
      <c r="HH15" cm="1">
        <f t="array" ref="HH15">SUMPRODUCT((Y$2:Y$1000="PS")*(F$2:F$1000=GZ15)*ISNUMBER(SEARCH("prioritization",LOWER(Z$2:Z$1000)))*ISNUMBER(SEARCH(LOWER(HH$2),LOWER(AB$2:AB$1000))))</f>
        <v>0</v>
      </c>
      <c r="HI15" cm="1">
        <f t="array" ref="HI15">SUMPRODUCT((Y$2:Y$1000="PS")*(F$2:F$1000=GZ15)*ISNUMBER(SEARCH("prioritization",LOWER(Z$2:Z$1000)))*ISNUMBER(SEARCH(LOWER("quantum"),LOWER(AB$2:AB$1000))))</f>
        <v>0</v>
      </c>
      <c r="HJ15" cm="1">
        <f t="array" ref="HJ15">SUMPRODUCT((Y$2:Y$1000="PS")*(F$2:F$1000=GZ15)*ISNUMBER(SEARCH("prioritization",LOWER(Z$2:Z$1000)))*ISNUMBER(SEARCH(LOWER("genetic"),LOWER(AB$2:AB$1000))))</f>
        <v>0</v>
      </c>
      <c r="HK15" cm="1">
        <f t="array" ref="HK15">SUMPRODUCT((Y$2:Y$1000="PS")*(F$2:F$1000=GZ15)*ISNUMBER(SEARCH("prioritization",LOWER(Z$2:Z$1000)))*ISNUMBER(SEARCH(LOWER("graph"),LOWER(AB$2:AB$1000))))</f>
        <v>0</v>
      </c>
      <c r="HL15" cm="1">
        <f t="array" ref="HL15">SUMPRODUCT((Y$2:Y$1000="PS")*(F$2:F$1000=GZ15)*ISNUMBER(SEARCH("prioritization",LOWER(Z$2:Z$1000)))*ISNUMBER(SEARCH(LOWER("greedy"),LOWER(AB$2:AB$1000))))</f>
        <v>0</v>
      </c>
      <c r="HM15" cm="1">
        <f t="array" ref="HM15">SUMPRODUCT((Y$2:Y$1000="PS")*(F$2:F$1000=GZ15)*ISNUMBER(SEARCH("prioritization",LOWER(Z$2:Z$1000)))*ISNUMBER(SEARCH(LOWER("dynamic"),LOWER(AB$2:AB$1000))))</f>
        <v>0</v>
      </c>
    </row>
    <row r="16" spans="1:221" ht="409.6">
      <c r="A16" s="2">
        <v>8855691</v>
      </c>
      <c r="B16" s="2" t="s">
        <v>34</v>
      </c>
      <c r="C16" s="2" t="s">
        <v>224</v>
      </c>
      <c r="D16" s="2" t="s">
        <v>225</v>
      </c>
      <c r="E16" s="2" t="s">
        <v>226</v>
      </c>
      <c r="F16" s="2">
        <v>2019</v>
      </c>
      <c r="G16" s="2"/>
      <c r="H16" s="2"/>
      <c r="I16" s="2" t="s">
        <v>227</v>
      </c>
      <c r="J16" s="2" t="s">
        <v>228</v>
      </c>
      <c r="K16" s="2" t="s">
        <v>229</v>
      </c>
      <c r="L16" s="2" t="s">
        <v>230</v>
      </c>
      <c r="M16" s="2"/>
      <c r="N16" s="2" t="s">
        <v>231</v>
      </c>
      <c r="O16" s="2"/>
      <c r="P16" s="2"/>
      <c r="Q16" s="2"/>
      <c r="R16" s="2"/>
      <c r="S16" s="2"/>
      <c r="T16" s="2"/>
      <c r="U16" s="2"/>
      <c r="V16" s="2"/>
      <c r="W16" s="2"/>
      <c r="X16" s="2" t="s">
        <v>232</v>
      </c>
      <c r="Y16" s="2" t="s">
        <v>58</v>
      </c>
      <c r="Z16" s="2" t="s">
        <v>233</v>
      </c>
      <c r="AA16" s="2" t="s">
        <v>90</v>
      </c>
      <c r="AB16" s="2" t="s">
        <v>1383</v>
      </c>
      <c r="AC16" s="2" t="s">
        <v>105</v>
      </c>
      <c r="AD16" s="2" t="s">
        <v>234</v>
      </c>
      <c r="AE16" s="2" t="s">
        <v>235</v>
      </c>
      <c r="AF16" s="2"/>
      <c r="AG16" s="2" t="s">
        <v>236</v>
      </c>
      <c r="AH16" s="2">
        <v>0.5</v>
      </c>
      <c r="AK16">
        <f t="shared" si="5"/>
        <v>1</v>
      </c>
      <c r="AL16">
        <f t="shared" si="0"/>
        <v>0</v>
      </c>
      <c r="AM16">
        <f t="shared" si="1"/>
        <v>0</v>
      </c>
      <c r="AN16">
        <f t="shared" si="2"/>
        <v>1</v>
      </c>
      <c r="AP16" t="s">
        <v>1262</v>
      </c>
      <c r="AQ16">
        <v>3</v>
      </c>
      <c r="AR16">
        <v>25</v>
      </c>
      <c r="AS16">
        <v>91</v>
      </c>
      <c r="AT16" s="33">
        <v>119</v>
      </c>
      <c r="CN16" t="s">
        <v>1355</v>
      </c>
      <c r="CO16">
        <f>SUM(CO3:CO15)</f>
        <v>54</v>
      </c>
      <c r="CP16">
        <f>SUM(CP3:CP15)</f>
        <v>34</v>
      </c>
      <c r="CQ16">
        <f>SUM(CQ3:CQ15)</f>
        <v>22</v>
      </c>
      <c r="CZ16" s="34"/>
      <c r="EQ16">
        <f>SUM(EN16:EP16)</f>
        <v>0</v>
      </c>
      <c r="EW16">
        <f>SUM(CO16:CQ16)</f>
        <v>110</v>
      </c>
      <c r="FQ16" t="s">
        <v>1282</v>
      </c>
      <c r="FR16" s="35" cm="1">
        <f t="array" ref="FR16">SUMPRODUCT((Y$2:Y$1000="PS")*ISNUMBER(SEARCH(LOWER(FQ16),LOWER(AA$2:AA$1000)))*ISNUMBER(SEARCH("prioritization",LOWER(Z$2:Z$1000))))</f>
        <v>0</v>
      </c>
    </row>
    <row r="17" spans="1:221" ht="409.6">
      <c r="A17" s="2">
        <v>8029584</v>
      </c>
      <c r="B17" s="2" t="s">
        <v>34</v>
      </c>
      <c r="C17" s="2" t="s">
        <v>237</v>
      </c>
      <c r="D17" s="2" t="s">
        <v>238</v>
      </c>
      <c r="E17" s="2" t="s">
        <v>239</v>
      </c>
      <c r="F17" s="2">
        <v>2017</v>
      </c>
      <c r="G17" s="2">
        <v>1</v>
      </c>
      <c r="H17" s="2"/>
      <c r="I17" s="2" t="s">
        <v>240</v>
      </c>
      <c r="J17" s="2" t="s">
        <v>241</v>
      </c>
      <c r="K17" s="2" t="s">
        <v>242</v>
      </c>
      <c r="L17" s="2" t="s">
        <v>243</v>
      </c>
      <c r="M17" s="2" t="s">
        <v>55</v>
      </c>
      <c r="N17" s="2" t="s">
        <v>56</v>
      </c>
      <c r="O17" s="2"/>
      <c r="P17" s="2"/>
      <c r="Q17" s="2"/>
      <c r="R17" s="2"/>
      <c r="S17" s="2"/>
      <c r="T17" s="2"/>
      <c r="U17" s="2"/>
      <c r="V17" s="2"/>
      <c r="W17" s="2"/>
      <c r="X17" s="2" t="s">
        <v>244</v>
      </c>
      <c r="Y17" s="2" t="s">
        <v>58</v>
      </c>
      <c r="Z17" s="2" t="s">
        <v>169</v>
      </c>
      <c r="AA17" s="2" t="s">
        <v>1357</v>
      </c>
      <c r="AB17" s="2" t="s">
        <v>91</v>
      </c>
      <c r="AC17" s="2"/>
      <c r="AD17" s="2" t="s">
        <v>245</v>
      </c>
      <c r="AE17" s="2" t="s">
        <v>246</v>
      </c>
      <c r="AF17" s="2" t="s">
        <v>247</v>
      </c>
      <c r="AG17" s="2" t="s">
        <v>248</v>
      </c>
      <c r="AH17" s="2">
        <v>1</v>
      </c>
      <c r="AK17">
        <f t="shared" si="5"/>
        <v>1</v>
      </c>
      <c r="AL17">
        <f t="shared" si="0"/>
        <v>0</v>
      </c>
      <c r="AM17">
        <f t="shared" si="1"/>
        <v>0</v>
      </c>
      <c r="AN17">
        <f t="shared" si="2"/>
        <v>1</v>
      </c>
      <c r="CZ17" s="34"/>
      <c r="FQ17" t="s">
        <v>1283</v>
      </c>
      <c r="FR17" s="35" cm="1">
        <f t="array" ref="FR17">SUMPRODUCT((Y$2:Y$1000="PS")*ISNUMBER(SEARCH(LOWER(FQ17),LOWER(AA$2:AA$1000)))*ISNUMBER(SEARCH("prioritization",LOWER(Z$2:Z$1000))))</f>
        <v>2</v>
      </c>
    </row>
    <row r="18" spans="1:221" ht="409.6">
      <c r="A18" s="2">
        <v>7838169</v>
      </c>
      <c r="B18" s="2" t="s">
        <v>34</v>
      </c>
      <c r="C18" s="2" t="s">
        <v>249</v>
      </c>
      <c r="D18" s="2" t="s">
        <v>250</v>
      </c>
      <c r="E18" s="2" t="s">
        <v>251</v>
      </c>
      <c r="F18" s="2">
        <v>2016</v>
      </c>
      <c r="G18" s="2"/>
      <c r="H18" s="2"/>
      <c r="I18" s="2" t="s">
        <v>252</v>
      </c>
      <c r="J18" s="2" t="s">
        <v>253</v>
      </c>
      <c r="K18" s="2" t="s">
        <v>254</v>
      </c>
      <c r="L18" s="2" t="s">
        <v>255</v>
      </c>
      <c r="M18" s="2"/>
      <c r="N18" s="2" t="s">
        <v>167</v>
      </c>
      <c r="O18" s="2"/>
      <c r="P18" s="2"/>
      <c r="Q18" s="2"/>
      <c r="R18" s="2"/>
      <c r="S18" s="2"/>
      <c r="T18" s="2"/>
      <c r="U18" s="2"/>
      <c r="V18" s="2"/>
      <c r="W18" s="2"/>
      <c r="X18" s="2" t="s">
        <v>256</v>
      </c>
      <c r="Y18" s="2" t="s">
        <v>58</v>
      </c>
      <c r="Z18" s="2" t="s">
        <v>257</v>
      </c>
      <c r="AA18" s="2" t="s">
        <v>1358</v>
      </c>
      <c r="AB18" s="2" t="s">
        <v>207</v>
      </c>
      <c r="AC18" s="2" t="s">
        <v>258</v>
      </c>
      <c r="AD18" s="2" t="s">
        <v>259</v>
      </c>
      <c r="AE18" s="2" t="s">
        <v>260</v>
      </c>
      <c r="AF18" s="2" t="s">
        <v>65</v>
      </c>
      <c r="AG18" s="2" t="s">
        <v>66</v>
      </c>
      <c r="AH18" s="2">
        <v>0.5</v>
      </c>
      <c r="AK18">
        <f t="shared" si="5"/>
        <v>1</v>
      </c>
      <c r="AL18">
        <f t="shared" si="0"/>
        <v>0</v>
      </c>
      <c r="AM18">
        <f t="shared" si="1"/>
        <v>0</v>
      </c>
      <c r="AN18">
        <f t="shared" si="2"/>
        <v>1</v>
      </c>
      <c r="CZ18" s="34"/>
      <c r="FQ18" t="s">
        <v>1284</v>
      </c>
      <c r="FR18" s="35" cm="1">
        <f t="array" ref="FR18">SUMPRODUCT((Y$2:Y$1000="PS")*ISNUMBER(SEARCH(LOWER(FQ18),LOWER(AA$2:AA$1000)))*ISNUMBER(SEARCH("prioritization",LOWER(Z$2:Z$1000))))</f>
        <v>0</v>
      </c>
    </row>
    <row r="19" spans="1:221" ht="409.6">
      <c r="A19" s="2">
        <v>6569743</v>
      </c>
      <c r="B19" s="2" t="s">
        <v>34</v>
      </c>
      <c r="C19" s="2" t="s">
        <v>261</v>
      </c>
      <c r="D19" s="2" t="s">
        <v>262</v>
      </c>
      <c r="E19" s="2" t="s">
        <v>263</v>
      </c>
      <c r="F19" s="2">
        <v>2013</v>
      </c>
      <c r="G19" s="2"/>
      <c r="H19" s="2"/>
      <c r="I19" s="2" t="s">
        <v>264</v>
      </c>
      <c r="J19" s="2" t="s">
        <v>265</v>
      </c>
      <c r="K19" s="2" t="s">
        <v>266</v>
      </c>
      <c r="L19" s="2" t="s">
        <v>267</v>
      </c>
      <c r="M19" s="2" t="s">
        <v>218</v>
      </c>
      <c r="N19" s="2" t="s">
        <v>126</v>
      </c>
      <c r="O19" s="2"/>
      <c r="P19" s="2"/>
      <c r="Q19" s="2"/>
      <c r="R19" s="2"/>
      <c r="S19" s="2"/>
      <c r="T19" s="2"/>
      <c r="U19" s="2"/>
      <c r="V19" s="2"/>
      <c r="W19" s="2"/>
      <c r="X19" s="2" t="s">
        <v>268</v>
      </c>
      <c r="Y19" s="2" t="s">
        <v>58</v>
      </c>
      <c r="Z19" s="2" t="s">
        <v>269</v>
      </c>
      <c r="AA19" s="2" t="s">
        <v>270</v>
      </c>
      <c r="AB19" s="2" t="s">
        <v>271</v>
      </c>
      <c r="AC19" s="2" t="s">
        <v>194</v>
      </c>
      <c r="AD19" s="2" t="s">
        <v>272</v>
      </c>
      <c r="AE19" s="2" t="s">
        <v>273</v>
      </c>
      <c r="AF19" s="2" t="s">
        <v>65</v>
      </c>
      <c r="AG19" s="2" t="s">
        <v>66</v>
      </c>
      <c r="AH19" s="2">
        <v>0.5</v>
      </c>
      <c r="AK19">
        <f t="shared" si="5"/>
        <v>1</v>
      </c>
      <c r="AL19">
        <f t="shared" si="0"/>
        <v>0</v>
      </c>
      <c r="AM19">
        <f t="shared" si="1"/>
        <v>0</v>
      </c>
      <c r="AN19">
        <f t="shared" si="2"/>
        <v>1</v>
      </c>
      <c r="CZ19" s="34"/>
      <c r="FQ19" t="s">
        <v>1307</v>
      </c>
      <c r="FR19" s="35" cm="1">
        <f t="array" ref="FR19">SUMPRODUCT((Y$2:Y$1000="PS")*ISNUMBER(SEARCH(LOWER(FQ19),LOWER(AA$2:AA$1000)))*ISNUMBER(SEARCH("prioritization",LOWER(Z$2:Z$1000))))</f>
        <v>0</v>
      </c>
      <c r="GZ19" t="s">
        <v>1306</v>
      </c>
      <c r="HA19" t="s">
        <v>46</v>
      </c>
      <c r="HB19" t="s">
        <v>61</v>
      </c>
      <c r="HC19" t="s">
        <v>91</v>
      </c>
      <c r="HD19" t="s">
        <v>207</v>
      </c>
      <c r="HE19" t="s">
        <v>1341</v>
      </c>
      <c r="HF19" t="s">
        <v>1322</v>
      </c>
      <c r="HG19" t="s">
        <v>60</v>
      </c>
      <c r="HH19" t="s">
        <v>1342</v>
      </c>
      <c r="HI19" t="s">
        <v>1343</v>
      </c>
      <c r="HJ19" t="s">
        <v>1348</v>
      </c>
      <c r="HK19" t="s">
        <v>1345</v>
      </c>
      <c r="HL19" t="s">
        <v>1349</v>
      </c>
      <c r="HM19" t="s">
        <v>1347</v>
      </c>
    </row>
    <row r="20" spans="1:221" ht="409.6">
      <c r="A20" s="2">
        <v>8854718</v>
      </c>
      <c r="B20" s="2" t="s">
        <v>34</v>
      </c>
      <c r="C20" s="2" t="s">
        <v>274</v>
      </c>
      <c r="D20" s="2" t="s">
        <v>275</v>
      </c>
      <c r="E20" s="2" t="s">
        <v>276</v>
      </c>
      <c r="F20" s="2">
        <v>2019</v>
      </c>
      <c r="G20" s="2"/>
      <c r="H20" s="2"/>
      <c r="I20" s="2" t="s">
        <v>277</v>
      </c>
      <c r="J20" s="2" t="s">
        <v>278</v>
      </c>
      <c r="K20" s="2" t="s">
        <v>279</v>
      </c>
      <c r="L20" s="2" t="s">
        <v>280</v>
      </c>
      <c r="M20" s="2"/>
      <c r="N20" s="2" t="s">
        <v>56</v>
      </c>
      <c r="O20" s="2"/>
      <c r="P20" s="2"/>
      <c r="Q20" s="2"/>
      <c r="R20" s="2"/>
      <c r="S20" s="2"/>
      <c r="T20" s="2"/>
      <c r="U20" s="2"/>
      <c r="V20" s="2"/>
      <c r="W20" s="2"/>
      <c r="X20" s="2" t="s">
        <v>281</v>
      </c>
      <c r="Y20" s="2" t="s">
        <v>58</v>
      </c>
      <c r="Z20" s="2" t="s">
        <v>233</v>
      </c>
      <c r="AA20" s="2" t="s">
        <v>90</v>
      </c>
      <c r="AB20" s="2" t="s">
        <v>91</v>
      </c>
      <c r="AC20" s="2" t="s">
        <v>194</v>
      </c>
      <c r="AD20" s="2" t="s">
        <v>282</v>
      </c>
      <c r="AE20" s="2" t="s">
        <v>283</v>
      </c>
      <c r="AF20" s="2" t="s">
        <v>65</v>
      </c>
      <c r="AG20" s="2" t="s">
        <v>66</v>
      </c>
      <c r="AH20" s="2">
        <v>0.5</v>
      </c>
      <c r="AK20">
        <f t="shared" si="5"/>
        <v>1</v>
      </c>
      <c r="AL20">
        <f t="shared" si="0"/>
        <v>0</v>
      </c>
      <c r="AM20">
        <f t="shared" si="1"/>
        <v>0</v>
      </c>
      <c r="AN20">
        <f t="shared" si="2"/>
        <v>1</v>
      </c>
      <c r="CZ20" s="34"/>
      <c r="FQ20" t="s">
        <v>1285</v>
      </c>
      <c r="FR20" s="35" cm="1">
        <f t="array" ref="FR20">SUMPRODUCT((Y$2:Y$1000="PS")*ISNUMBER(SEARCH(LOWER(FQ20),LOWER(AA$2:AA$1000)))*ISNUMBER(SEARCH("prioritization",LOWER(Z$2:Z$1000))))</f>
        <v>0</v>
      </c>
      <c r="GZ20">
        <v>2013</v>
      </c>
      <c r="HA20" cm="1">
        <f t="array" ref="HA20">SUMPRODUCT((Y$2:Y$1000="PS")*(F$2:F$1000=GZ20)*ISNUMBER(SEARCH("selection",LOWER(Z$2:Z$1000)))*ISNUMBER(SEARCH(LOWER("metaheuristic"),LOWER(AB$2:AB$1000))))</f>
        <v>0</v>
      </c>
      <c r="HB20" cm="1">
        <f t="array" ref="HB20">SUMPRODUCT((Y$2:Y$1000="PS")*(F$2:F$1000=GZ20)*ISNUMBER(SEARCH("selection",LOWER(Z$2:Z$1000)))*ISNUMBER(SEARCH(LOWER("search"),LOWER(AB$2:AB$1000))))</f>
        <v>0</v>
      </c>
      <c r="HC20" cm="1">
        <f t="array" ref="HC20">SUMPRODUCT((Y$2:Y$1000="PS")*(F$2:F$1000=GZ20)*ISNUMBER(SEARCH("selection",LOWER(Z$2:Z$1000)))*ISNUMBER(SEARCH(LOWER("heuristic"),LOWER(AB$2:AB$1000))))</f>
        <v>2</v>
      </c>
      <c r="HD20" cm="1">
        <f t="array" ref="HD20">SUMPRODUCT((Y$2:Y$1000="PS")*(F$2:F$1000=GZ20)*ISNUMBER(SEARCH("selection",LOWER(Z$2:Z$1000)))*ISNUMBER(SEARCH(LOWER("ml"),LOWER(AB$2:AB$1000))))</f>
        <v>0</v>
      </c>
      <c r="HE20" cm="1">
        <f t="array" ref="HE20">SUMPRODUCT((Y$2:Y$1000="PS")*(F$2:F$1000=GZ20)*ISNUMBER(SEARCH("selection",LOWER(Z$2:Z$1000)))*ISNUMBER(SEARCH(LOWER("rule"),LOWER(AB$2:AB$1000))))</f>
        <v>0</v>
      </c>
      <c r="HF20" cm="1">
        <f t="array" ref="HF20">SUMPRODUCT((Y$2:Y$1000="PS")*(F$2:F$1000=GZ20)*ISNUMBER(SEARCH("selection",LOWER(Z$2:Z$1000)))*ISNUMBER(SEARCH(LOWER("similarity"),LOWER(AB$2:AB$1000))))</f>
        <v>0</v>
      </c>
      <c r="HG20" cm="1">
        <f t="array" ref="HG20">SUMPRODUCT((Y$2:Y$1000="PS")*(F$2:F$1000=GZ20)*ISNUMBER(SEARCH("selection",LOWER(Z$2:Z$1000)))*ISNUMBER(SEARCH(LOWER("model"),LOWER(AB$2:AB$1000))))</f>
        <v>0</v>
      </c>
      <c r="HH20" cm="1">
        <f t="array" ref="HH20">SUMPRODUCT((Y$2:Y$1000="PS")*(F$2:F$1000=GZ20)*ISNUMBER(SEARCH("selection",LOWER(Z$2:Z$1000)))*ISNUMBER(SEARCH(LOWER("dependency"),LOWER(AB$2:AB$1000))))</f>
        <v>0</v>
      </c>
      <c r="HI20" cm="1">
        <f t="array" ref="HI20">SUMPRODUCT((Y$2:Y$1000="PS")*(F$2:F$1000=GZ20)*ISNUMBER(SEARCH("selection",LOWER(Z$2:Z$1000)))*ISNUMBER(SEARCH(LOWER("quantum"),LOWER(AB$2:AB$1000))))</f>
        <v>0</v>
      </c>
      <c r="HJ20" cm="1">
        <f t="array" ref="HJ20">SUMPRODUCT((Y$2:Y$1000="PS")*(F$2:F$1000=GZ20)*ISNUMBER(SEARCH("selection",LOWER(Z$2:Z$1000)))*ISNUMBER(SEARCH(LOWER("genetic"),LOWER(AB$2:AB$1000))))</f>
        <v>0</v>
      </c>
      <c r="HK20" cm="1">
        <f t="array" ref="HK20">SUMPRODUCT((Y$2:Y$1000="PS")*(F$2:F$1000=GZ20)*ISNUMBER(SEARCH("selection",LOWER(Z$2:Z$1000)))*ISNUMBER(SEARCH(LOWER("graph"),LOWER(AB$2:AB$1000))))</f>
        <v>0</v>
      </c>
      <c r="HL20" cm="1">
        <f t="array" ref="HL20">SUMPRODUCT((Y$2:Y$1000="PS")*(F$2:F$1000=GZ20)*ISNUMBER(SEARCH("selection",LOWER(Z$2:Z$1000)))*ISNUMBER(SEARCH(LOWER("greedy"),LOWER(AB$2:AB$1000))))</f>
        <v>0</v>
      </c>
      <c r="HM20" cm="1">
        <f t="array" ref="HM20">SUMPRODUCT((Y$2:Y$1000="PS")*(F$2:F$1000=GZ20)*ISNUMBER(SEARCH("selection",LOWER(Z$2:Z$1000)))*ISNUMBER(SEARCH(LOWER("dynamic"),LOWER(AB$2:AB$1000))))</f>
        <v>0</v>
      </c>
    </row>
    <row r="21" spans="1:221" ht="409.6">
      <c r="A21" s="2">
        <v>7272924</v>
      </c>
      <c r="B21" s="2" t="s">
        <v>34</v>
      </c>
      <c r="C21" s="2" t="s">
        <v>284</v>
      </c>
      <c r="D21" s="2" t="s">
        <v>285</v>
      </c>
      <c r="E21" s="2" t="s">
        <v>286</v>
      </c>
      <c r="F21" s="2">
        <v>2015</v>
      </c>
      <c r="G21" s="2"/>
      <c r="H21" s="2"/>
      <c r="I21" s="2" t="s">
        <v>287</v>
      </c>
      <c r="J21" s="2" t="s">
        <v>288</v>
      </c>
      <c r="K21" s="2" t="s">
        <v>289</v>
      </c>
      <c r="L21" s="2" t="s">
        <v>290</v>
      </c>
      <c r="M21" s="2"/>
      <c r="N21" s="2" t="s">
        <v>231</v>
      </c>
      <c r="O21" s="2"/>
      <c r="P21" s="2"/>
      <c r="Q21" s="2"/>
      <c r="R21" s="2"/>
      <c r="S21" s="2"/>
      <c r="T21" s="2"/>
      <c r="U21" s="2"/>
      <c r="V21" s="2"/>
      <c r="W21" s="2"/>
      <c r="X21" s="2" t="s">
        <v>291</v>
      </c>
      <c r="Y21" s="2" t="s">
        <v>58</v>
      </c>
      <c r="Z21" s="2" t="s">
        <v>205</v>
      </c>
      <c r="AA21" s="2" t="s">
        <v>1359</v>
      </c>
      <c r="AB21" s="2" t="s">
        <v>91</v>
      </c>
      <c r="AC21" s="2" t="s">
        <v>258</v>
      </c>
      <c r="AD21" s="2" t="s">
        <v>293</v>
      </c>
      <c r="AE21" s="2" t="s">
        <v>294</v>
      </c>
      <c r="AF21" s="2"/>
      <c r="AG21" s="2" t="s">
        <v>295</v>
      </c>
      <c r="AH21" s="2">
        <v>0.5</v>
      </c>
      <c r="AK21">
        <f t="shared" si="5"/>
        <v>1</v>
      </c>
      <c r="AL21">
        <f t="shared" si="0"/>
        <v>0</v>
      </c>
      <c r="AM21">
        <f t="shared" si="1"/>
        <v>0</v>
      </c>
      <c r="AN21">
        <f t="shared" si="2"/>
        <v>1</v>
      </c>
      <c r="CZ21" s="34"/>
      <c r="FQ21" t="s">
        <v>1286</v>
      </c>
      <c r="FR21" s="35" cm="1">
        <f t="array" ref="FR21">SUMPRODUCT((Y$2:Y$1000="PS")*ISNUMBER(SEARCH(LOWER(FQ21),LOWER(AA$2:AA$1000)))*ISNUMBER(SEARCH("prioritization",LOWER(Z$2:Z$1000))))</f>
        <v>0</v>
      </c>
      <c r="GZ21">
        <v>2014</v>
      </c>
      <c r="HA21" cm="1">
        <f t="array" ref="HA21">SUMPRODUCT((Y$2:Y$1000="PS")*(F$2:F$1000=GZ21)*ISNUMBER(SEARCH("selection",LOWER(Z$2:Z$1000)))*ISNUMBER(SEARCH(LOWER("metaheuristic"),LOWER(AB$2:AB$1000))))</f>
        <v>0</v>
      </c>
      <c r="HB21" cm="1">
        <f t="array" ref="HB21">SUMPRODUCT((Y$2:Y$1000="PS")*(F$2:F$1000=GZ21)*ISNUMBER(SEARCH("selection",LOWER(Z$2:Z$1000)))*ISNUMBER(SEARCH(LOWER("search"),LOWER(AB$2:AB$1000))))</f>
        <v>0</v>
      </c>
      <c r="HC21" cm="1">
        <f t="array" ref="HC21">SUMPRODUCT((Y$2:Y$1000="PS")*(F$2:F$1000=GZ21)*ISNUMBER(SEARCH("selection",LOWER(Z$2:Z$1000)))*ISNUMBER(SEARCH(LOWER("heuristic"),LOWER(AB$2:AB$1000))))</f>
        <v>2</v>
      </c>
      <c r="HD21" cm="1">
        <f t="array" ref="HD21">SUMPRODUCT((Y$2:Y$1000="PS")*(F$2:F$1000=GZ21)*ISNUMBER(SEARCH("selection",LOWER(Z$2:Z$1000)))*ISNUMBER(SEARCH(LOWER("ml"),LOWER(AB$2:AB$1000))))</f>
        <v>0</v>
      </c>
      <c r="HE21" cm="1">
        <f t="array" ref="HE21">SUMPRODUCT((Y$2:Y$1000="PS")*(F$2:F$1000=GZ21)*ISNUMBER(SEARCH("selection",LOWER(Z$2:Z$1000)))*ISNUMBER(SEARCH(LOWER("rule"),LOWER(AB$2:AB$1000))))</f>
        <v>0</v>
      </c>
      <c r="HF21" cm="1">
        <f t="array" ref="HF21">SUMPRODUCT((Y$2:Y$1000="PS")*(F$2:F$1000=GZ21)*ISNUMBER(SEARCH("selection",LOWER(Z$2:Z$1000)))*ISNUMBER(SEARCH(LOWER("similarity"),LOWER(AB$2:AB$1000))))</f>
        <v>0</v>
      </c>
      <c r="HG21" cm="1">
        <f t="array" ref="HG21">SUMPRODUCT((Y$2:Y$1000="PS")*(F$2:F$1000=GZ21)*ISNUMBER(SEARCH("selection",LOWER(Z$2:Z$1000)))*ISNUMBER(SEARCH(LOWER("model"),LOWER(AB$2:AB$1000))))</f>
        <v>0</v>
      </c>
      <c r="HH21" cm="1">
        <f t="array" ref="HH21">SUMPRODUCT((Y$2:Y$1000="PS")*(F$2:F$1000=GZ21)*ISNUMBER(SEARCH("selection",LOWER(Z$2:Z$1000)))*ISNUMBER(SEARCH(LOWER("dependency"),LOWER(AB$2:AB$1000))))</f>
        <v>0</v>
      </c>
      <c r="HI21" cm="1">
        <f t="array" ref="HI21">SUMPRODUCT((Y$2:Y$1000="PS")*(F$2:F$1000=GZ21)*ISNUMBER(SEARCH("selection",LOWER(Z$2:Z$1000)))*ISNUMBER(SEARCH(LOWER("quantum"),LOWER(AB$2:AB$1000))))</f>
        <v>0</v>
      </c>
      <c r="HJ21" cm="1">
        <f t="array" ref="HJ21">SUMPRODUCT((Y$2:Y$1000="PS")*(F$2:F$1000=GZ21)*ISNUMBER(SEARCH("selection",LOWER(Z$2:Z$1000)))*ISNUMBER(SEARCH(LOWER("genetic"),LOWER(AB$2:AB$1000))))</f>
        <v>0</v>
      </c>
      <c r="HK21" cm="1">
        <f t="array" ref="HK21">SUMPRODUCT((Y$2:Y$1000="PS")*(F$2:F$1000=GZ21)*ISNUMBER(SEARCH("selection",LOWER(Z$2:Z$1000)))*ISNUMBER(SEARCH(LOWER("graph"),LOWER(AB$2:AB$1000))))</f>
        <v>0</v>
      </c>
      <c r="HL21" cm="1">
        <f t="array" ref="HL21">SUMPRODUCT((Y$2:Y$1000="PS")*(F$2:F$1000=GZ21)*ISNUMBER(SEARCH("selection",LOWER(Z$2:Z$1000)))*ISNUMBER(SEARCH(LOWER("greedy"),LOWER(AB$2:AB$1000))))</f>
        <v>1</v>
      </c>
      <c r="HM21" cm="1">
        <f t="array" ref="HM21">SUMPRODUCT((Y$2:Y$1000="PS")*(F$2:F$1000=GZ21)*ISNUMBER(SEARCH("selection",LOWER(Z$2:Z$1000)))*ISNUMBER(SEARCH(LOWER("dynamic"),LOWER(AB$2:AB$1000))))</f>
        <v>0</v>
      </c>
    </row>
    <row r="22" spans="1:221" ht="409.6">
      <c r="A22" s="2">
        <v>10196878</v>
      </c>
      <c r="B22" s="2" t="s">
        <v>34</v>
      </c>
      <c r="C22" s="2" t="s">
        <v>296</v>
      </c>
      <c r="D22" s="2" t="s">
        <v>297</v>
      </c>
      <c r="E22" s="2" t="s">
        <v>298</v>
      </c>
      <c r="F22" s="2">
        <v>2023</v>
      </c>
      <c r="G22" s="2"/>
      <c r="H22" s="2"/>
      <c r="I22" s="2" t="s">
        <v>299</v>
      </c>
      <c r="J22" s="2" t="s">
        <v>300</v>
      </c>
      <c r="K22" s="2" t="s">
        <v>301</v>
      </c>
      <c r="L22" s="2" t="s">
        <v>302</v>
      </c>
      <c r="M22" s="2" t="s">
        <v>55</v>
      </c>
      <c r="N22" s="2" t="s">
        <v>102</v>
      </c>
      <c r="O22" s="2"/>
      <c r="P22" s="2"/>
      <c r="Q22" s="2"/>
      <c r="R22" s="2"/>
      <c r="S22" s="2"/>
      <c r="T22" s="2"/>
      <c r="U22" s="2"/>
      <c r="V22" s="2"/>
      <c r="W22" s="2"/>
      <c r="X22" s="2" t="s">
        <v>303</v>
      </c>
      <c r="Y22" s="2" t="s">
        <v>58</v>
      </c>
      <c r="Z22" s="2" t="s">
        <v>304</v>
      </c>
      <c r="AA22" s="2" t="s">
        <v>60</v>
      </c>
      <c r="AB22" s="2" t="s">
        <v>305</v>
      </c>
      <c r="AC22" s="2" t="s">
        <v>258</v>
      </c>
      <c r="AD22" s="2" t="s">
        <v>306</v>
      </c>
      <c r="AE22" s="2" t="s">
        <v>307</v>
      </c>
      <c r="AF22" s="2"/>
      <c r="AG22" s="2" t="s">
        <v>308</v>
      </c>
      <c r="AH22" s="2">
        <v>0.5</v>
      </c>
      <c r="AK22">
        <f t="shared" si="5"/>
        <v>1</v>
      </c>
      <c r="AL22">
        <f t="shared" si="0"/>
        <v>0</v>
      </c>
      <c r="AM22">
        <f t="shared" si="1"/>
        <v>0</v>
      </c>
      <c r="AN22">
        <f t="shared" si="2"/>
        <v>1</v>
      </c>
      <c r="CZ22" s="34"/>
      <c r="FQ22" t="s">
        <v>1301</v>
      </c>
      <c r="FR22" s="35" cm="1">
        <f t="array" ref="FR22">SUMPRODUCT((Y$2:Y$1000="PS")*ISNUMBER(SEARCH(LOWER(FQ22),LOWER(AA$2:AA$1000)))*ISNUMBER(SEARCH("prioritization",LOWER(Z$2:Z$1000))))</f>
        <v>4</v>
      </c>
      <c r="GZ22">
        <v>2015</v>
      </c>
      <c r="HA22" cm="1">
        <f t="array" ref="HA22">SUMPRODUCT((Y$2:Y$1000="PS")*(F$2:F$1000=GZ22)*ISNUMBER(SEARCH("selection",LOWER(Z$2:Z$1000)))*ISNUMBER(SEARCH(LOWER("metaheuristic"),LOWER(AB$2:AB$1000))))</f>
        <v>0</v>
      </c>
      <c r="HB22" cm="1">
        <f t="array" ref="HB22">SUMPRODUCT((Y$2:Y$1000="PS")*(F$2:F$1000=GZ22)*ISNUMBER(SEARCH("selection",LOWER(Z$2:Z$1000)))*ISNUMBER(SEARCH(LOWER("search"),LOWER(AB$2:AB$1000))))</f>
        <v>0</v>
      </c>
      <c r="HC22" cm="1">
        <f t="array" ref="HC22">SUMPRODUCT((Y$2:Y$1000="PS")*(F$2:F$1000=GZ22)*ISNUMBER(SEARCH("selection",LOWER(Z$2:Z$1000)))*ISNUMBER(SEARCH(LOWER("heuristic"),LOWER(AB$2:AB$1000))))</f>
        <v>0</v>
      </c>
      <c r="HD22" cm="1">
        <f t="array" ref="HD22">SUMPRODUCT((Y$2:Y$1000="PS")*(F$2:F$1000=GZ22)*ISNUMBER(SEARCH("selection",LOWER(Z$2:Z$1000)))*ISNUMBER(SEARCH(LOWER("ml"),LOWER(AB$2:AB$1000))))</f>
        <v>0</v>
      </c>
      <c r="HE22" cm="1">
        <f t="array" ref="HE22">SUMPRODUCT((Y$2:Y$1000="PS")*(F$2:F$1000=GZ22)*ISNUMBER(SEARCH("selection",LOWER(Z$2:Z$1000)))*ISNUMBER(SEARCH(LOWER("rule"),LOWER(AB$2:AB$1000))))</f>
        <v>0</v>
      </c>
      <c r="HF22" cm="1">
        <f t="array" ref="HF22">SUMPRODUCT((Y$2:Y$1000="PS")*(F$2:F$1000=GZ22)*ISNUMBER(SEARCH("selection",LOWER(Z$2:Z$1000)))*ISNUMBER(SEARCH(LOWER("similarity"),LOWER(AB$2:AB$1000))))</f>
        <v>0</v>
      </c>
      <c r="HG22" cm="1">
        <f t="array" ref="HG22">SUMPRODUCT((Y$2:Y$1000="PS")*(F$2:F$1000=GZ22)*ISNUMBER(SEARCH("selection",LOWER(Z$2:Z$1000)))*ISNUMBER(SEARCH(LOWER("model"),LOWER(AB$2:AB$1000))))</f>
        <v>0</v>
      </c>
      <c r="HH22" cm="1">
        <f t="array" ref="HH22">SUMPRODUCT((Y$2:Y$1000="PS")*(F$2:F$1000=GZ22)*ISNUMBER(SEARCH("selection",LOWER(Z$2:Z$1000)))*ISNUMBER(SEARCH(LOWER("dependency"),LOWER(AB$2:AB$1000))))</f>
        <v>0</v>
      </c>
      <c r="HI22" cm="1">
        <f t="array" ref="HI22">SUMPRODUCT((Y$2:Y$1000="PS")*(F$2:F$1000=GZ22)*ISNUMBER(SEARCH("selection",LOWER(Z$2:Z$1000)))*ISNUMBER(SEARCH(LOWER("quantum"),LOWER(AB$2:AB$1000))))</f>
        <v>0</v>
      </c>
      <c r="HJ22" cm="1">
        <f t="array" ref="HJ22">SUMPRODUCT((Y$2:Y$1000="PS")*(F$2:F$1000=GZ22)*ISNUMBER(SEARCH("selection",LOWER(Z$2:Z$1000)))*ISNUMBER(SEARCH(LOWER("genetic"),LOWER(AB$2:AB$1000))))</f>
        <v>0</v>
      </c>
      <c r="HK22" cm="1">
        <f t="array" ref="HK22">SUMPRODUCT((Y$2:Y$1000="PS")*(F$2:F$1000=GZ22)*ISNUMBER(SEARCH("selection",LOWER(Z$2:Z$1000)))*ISNUMBER(SEARCH(LOWER("graph"),LOWER(AB$2:AB$1000))))</f>
        <v>0</v>
      </c>
      <c r="HL22" cm="1">
        <f t="array" ref="HL22">SUMPRODUCT((Y$2:Y$1000="PS")*(F$2:F$1000=GZ22)*ISNUMBER(SEARCH("selection",LOWER(Z$2:Z$1000)))*ISNUMBER(SEARCH(LOWER("greedy"),LOWER(AB$2:AB$1000))))</f>
        <v>0</v>
      </c>
      <c r="HM22" cm="1">
        <f t="array" ref="HM22">SUMPRODUCT((Y$2:Y$1000="PS")*(F$2:F$1000=GZ22)*ISNUMBER(SEARCH("selection",LOWER(Z$2:Z$1000)))*ISNUMBER(SEARCH(LOWER("dynamic"),LOWER(AB$2:AB$1000))))</f>
        <v>0</v>
      </c>
    </row>
    <row r="23" spans="1:221" ht="409.6">
      <c r="A23" s="2">
        <v>7589817</v>
      </c>
      <c r="B23" s="2" t="s">
        <v>34</v>
      </c>
      <c r="C23" s="2" t="s">
        <v>309</v>
      </c>
      <c r="D23" s="2" t="s">
        <v>310</v>
      </c>
      <c r="E23" s="2" t="s">
        <v>311</v>
      </c>
      <c r="F23" s="2">
        <v>2016</v>
      </c>
      <c r="G23" s="2"/>
      <c r="H23" s="2"/>
      <c r="I23" s="2" t="s">
        <v>277</v>
      </c>
      <c r="J23" s="2" t="s">
        <v>312</v>
      </c>
      <c r="K23" s="2" t="s">
        <v>313</v>
      </c>
      <c r="L23" s="2" t="s">
        <v>314</v>
      </c>
      <c r="M23" s="2"/>
      <c r="N23" s="2" t="s">
        <v>231</v>
      </c>
      <c r="O23" s="2"/>
      <c r="P23" s="2"/>
      <c r="Q23" s="2"/>
      <c r="R23" s="2"/>
      <c r="S23" s="2"/>
      <c r="T23" s="2"/>
      <c r="U23" s="2"/>
      <c r="V23" s="2"/>
      <c r="W23" s="2"/>
      <c r="X23" s="2" t="s">
        <v>315</v>
      </c>
      <c r="Y23" s="2" t="s">
        <v>58</v>
      </c>
      <c r="Z23" s="2" t="s">
        <v>257</v>
      </c>
      <c r="AA23" s="2" t="s">
        <v>1359</v>
      </c>
      <c r="AB23" s="2" t="s">
        <v>91</v>
      </c>
      <c r="AC23" s="2" t="s">
        <v>62</v>
      </c>
      <c r="AD23" s="2" t="s">
        <v>316</v>
      </c>
      <c r="AE23" s="2" t="s">
        <v>317</v>
      </c>
      <c r="AF23" s="2" t="s">
        <v>318</v>
      </c>
      <c r="AG23" s="3" t="s">
        <v>319</v>
      </c>
      <c r="AH23" s="2">
        <v>0.5</v>
      </c>
      <c r="AK23">
        <f t="shared" si="5"/>
        <v>1</v>
      </c>
      <c r="AL23">
        <f t="shared" si="0"/>
        <v>0</v>
      </c>
      <c r="AM23">
        <f t="shared" si="1"/>
        <v>0</v>
      </c>
      <c r="AN23">
        <f t="shared" si="2"/>
        <v>1</v>
      </c>
      <c r="FQ23" t="s">
        <v>1304</v>
      </c>
      <c r="FR23" s="35" cm="1">
        <f t="array" ref="FR23">SUMPRODUCT((Y$2:Y$1000="PS")*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13</v>
      </c>
      <c r="GZ23">
        <v>2016</v>
      </c>
      <c r="HA23" cm="1">
        <f t="array" ref="HA23">SUMPRODUCT((Y$2:Y$1000="PS")*(F$2:F$1000=GZ23)*ISNUMBER(SEARCH("selection",LOWER(Z$2:Z$1000)))*ISNUMBER(SEARCH(LOWER("metaheuristic"),LOWER(AB$2:AB$1000))))</f>
        <v>0</v>
      </c>
      <c r="HB23" cm="1">
        <f t="array" ref="HB23">SUMPRODUCT((Y$2:Y$1000="PS")*(F$2:F$1000=GZ23)*ISNUMBER(SEARCH("selection",LOWER(Z$2:Z$1000)))*ISNUMBER(SEARCH(LOWER("search"),LOWER(AB$2:AB$1000))))</f>
        <v>0</v>
      </c>
      <c r="HC23" cm="1">
        <f t="array" ref="HC23">SUMPRODUCT((Y$2:Y$1000="PS")*(F$2:F$1000=GZ23)*ISNUMBER(SEARCH("selection",LOWER(Z$2:Z$1000)))*ISNUMBER(SEARCH(LOWER("heuristic"),LOWER(AB$2:AB$1000))))</f>
        <v>1</v>
      </c>
      <c r="HD23" cm="1">
        <f t="array" ref="HD23">SUMPRODUCT((Y$2:Y$1000="PS")*(F$2:F$1000=GZ23)*ISNUMBER(SEARCH("selection",LOWER(Z$2:Z$1000)))*ISNUMBER(SEARCH(LOWER("ml"),LOWER(AB$2:AB$1000))))</f>
        <v>0</v>
      </c>
      <c r="HE23" cm="1">
        <f t="array" ref="HE23">SUMPRODUCT((Y$2:Y$1000="PS")*(F$2:F$1000=GZ23)*ISNUMBER(SEARCH("selection",LOWER(Z$2:Z$1000)))*ISNUMBER(SEARCH(LOWER("rule"),LOWER(AB$2:AB$1000))))</f>
        <v>0</v>
      </c>
      <c r="HF23" cm="1">
        <f t="array" ref="HF23">SUMPRODUCT((Y$2:Y$1000="PS")*(F$2:F$1000=GZ23)*ISNUMBER(SEARCH("selection",LOWER(Z$2:Z$1000)))*ISNUMBER(SEARCH(LOWER("similarity"),LOWER(AB$2:AB$1000))))</f>
        <v>0</v>
      </c>
      <c r="HG23" cm="1">
        <f t="array" ref="HG23">SUMPRODUCT((Y$2:Y$1000="PS")*(F$2:F$1000=GZ23)*ISNUMBER(SEARCH("selection",LOWER(Z$2:Z$1000)))*ISNUMBER(SEARCH(LOWER("model"),LOWER(AB$2:AB$1000))))</f>
        <v>0</v>
      </c>
      <c r="HH23" cm="1">
        <f t="array" ref="HH23">SUMPRODUCT((Y$2:Y$1000="PS")*(F$2:F$1000=GZ23)*ISNUMBER(SEARCH("selection",LOWER(Z$2:Z$1000)))*ISNUMBER(SEARCH(LOWER("dependency"),LOWER(AB$2:AB$1000))))</f>
        <v>0</v>
      </c>
      <c r="HI23" cm="1">
        <f t="array" ref="HI23">SUMPRODUCT((Y$2:Y$1000="PS")*(F$2:F$1000=GZ23)*ISNUMBER(SEARCH("selection",LOWER(Z$2:Z$1000)))*ISNUMBER(SEARCH(LOWER("quantum"),LOWER(AB$2:AB$1000))))</f>
        <v>0</v>
      </c>
      <c r="HJ23" cm="1">
        <f t="array" ref="HJ23">SUMPRODUCT((Y$2:Y$1000="PS")*(F$2:F$1000=GZ23)*ISNUMBER(SEARCH("selection",LOWER(Z$2:Z$1000)))*ISNUMBER(SEARCH(LOWER("genetic"),LOWER(AB$2:AB$1000))))</f>
        <v>0</v>
      </c>
      <c r="HK23" cm="1">
        <f t="array" ref="HK23">SUMPRODUCT((Y$2:Y$1000="PS")*(F$2:F$1000=GZ23)*ISNUMBER(SEARCH("selection",LOWER(Z$2:Z$1000)))*ISNUMBER(SEARCH(LOWER("graph"),LOWER(AB$2:AB$1000))))</f>
        <v>0</v>
      </c>
      <c r="HL23" cm="1">
        <f t="array" ref="HL23">SUMPRODUCT((Y$2:Y$1000="PS")*(F$2:F$1000=GZ23)*ISNUMBER(SEARCH("selection",LOWER(Z$2:Z$1000)))*ISNUMBER(SEARCH(LOWER("greedy"),LOWER(AB$2:AB$1000))))</f>
        <v>0</v>
      </c>
      <c r="HM23" cm="1">
        <f t="array" ref="HM23">SUMPRODUCT((Y$2:Y$1000="PS")*(F$2:F$1000=GZ23)*ISNUMBER(SEARCH("selection",LOWER(Z$2:Z$1000)))*ISNUMBER(SEARCH(LOWER("dynamic"),LOWER(AB$2:AB$1000))))</f>
        <v>0</v>
      </c>
    </row>
    <row r="24" spans="1:221" ht="409.6">
      <c r="A24" s="2">
        <v>7381799</v>
      </c>
      <c r="B24" s="2" t="s">
        <v>34</v>
      </c>
      <c r="C24" s="2" t="s">
        <v>320</v>
      </c>
      <c r="D24" s="2" t="s">
        <v>321</v>
      </c>
      <c r="E24" s="2" t="s">
        <v>322</v>
      </c>
      <c r="F24" s="2">
        <v>2015</v>
      </c>
      <c r="G24" s="2"/>
      <c r="H24" s="2"/>
      <c r="I24" s="2" t="s">
        <v>323</v>
      </c>
      <c r="J24" s="2" t="s">
        <v>324</v>
      </c>
      <c r="K24" s="2" t="s">
        <v>325</v>
      </c>
      <c r="L24" s="2" t="s">
        <v>326</v>
      </c>
      <c r="M24" s="2"/>
      <c r="N24" s="2" t="s">
        <v>327</v>
      </c>
      <c r="O24" s="2"/>
      <c r="P24" s="2"/>
      <c r="Q24" s="2"/>
      <c r="R24" s="2"/>
      <c r="S24" s="2"/>
      <c r="T24" s="2"/>
      <c r="U24" s="2"/>
      <c r="V24" s="2"/>
      <c r="W24" s="2"/>
      <c r="X24" s="2" t="s">
        <v>328</v>
      </c>
      <c r="Y24" s="2" t="s">
        <v>58</v>
      </c>
      <c r="Z24" s="2" t="s">
        <v>205</v>
      </c>
      <c r="AA24" s="2" t="s">
        <v>114</v>
      </c>
      <c r="AB24" s="2" t="s">
        <v>91</v>
      </c>
      <c r="AC24" s="2" t="s">
        <v>62</v>
      </c>
      <c r="AD24" s="2" t="s">
        <v>329</v>
      </c>
      <c r="AE24" s="2" t="s">
        <v>330</v>
      </c>
      <c r="AF24" s="2"/>
      <c r="AG24" s="2" t="s">
        <v>331</v>
      </c>
      <c r="AH24" s="2">
        <v>0.5</v>
      </c>
      <c r="AK24">
        <f t="shared" si="5"/>
        <v>1</v>
      </c>
      <c r="AL24">
        <f t="shared" si="0"/>
        <v>0</v>
      </c>
      <c r="AM24">
        <f t="shared" si="1"/>
        <v>0</v>
      </c>
      <c r="AN24">
        <f t="shared" si="2"/>
        <v>1</v>
      </c>
      <c r="FQ24" t="s">
        <v>1287</v>
      </c>
      <c r="GZ24">
        <v>2017</v>
      </c>
      <c r="HA24" cm="1">
        <f t="array" ref="HA24">SUMPRODUCT((Y$2:Y$1000="PS")*(F$2:F$1000=GZ24)*ISNUMBER(SEARCH("selection",LOWER(Z$2:Z$1000)))*ISNUMBER(SEARCH(LOWER("metaheuristic"),LOWER(AB$2:AB$1000))))</f>
        <v>0</v>
      </c>
      <c r="HB24" cm="1">
        <f t="array" ref="HB24">SUMPRODUCT((Y$2:Y$1000="PS")*(F$2:F$1000=GZ24)*ISNUMBER(SEARCH("selection",LOWER(Z$2:Z$1000)))*ISNUMBER(SEARCH(LOWER("search"),LOWER(AB$2:AB$1000))))</f>
        <v>0</v>
      </c>
      <c r="HC24" cm="1">
        <f t="array" ref="HC24">SUMPRODUCT((Y$2:Y$1000="PS")*(F$2:F$1000=GZ24)*ISNUMBER(SEARCH("selection",LOWER(Z$2:Z$1000)))*ISNUMBER(SEARCH(LOWER("heuristic"),LOWER(AB$2:AB$1000))))</f>
        <v>2</v>
      </c>
      <c r="HD24" cm="1">
        <f t="array" ref="HD24">SUMPRODUCT((Y$2:Y$1000="PS")*(F$2:F$1000=GZ24)*ISNUMBER(SEARCH("selection",LOWER(Z$2:Z$1000)))*ISNUMBER(SEARCH(LOWER("ml"),LOWER(AB$2:AB$1000))))</f>
        <v>1</v>
      </c>
      <c r="HE24" cm="1">
        <f t="array" ref="HE24">SUMPRODUCT((Y$2:Y$1000="PS")*(F$2:F$1000=GZ24)*ISNUMBER(SEARCH("selection",LOWER(Z$2:Z$1000)))*ISNUMBER(SEARCH(LOWER("rule"),LOWER(AB$2:AB$1000))))</f>
        <v>0</v>
      </c>
      <c r="HF24" cm="1">
        <f t="array" ref="HF24">SUMPRODUCT((Y$2:Y$1000="PS")*(F$2:F$1000=GZ24)*ISNUMBER(SEARCH("selection",LOWER(Z$2:Z$1000)))*ISNUMBER(SEARCH(LOWER("similarity"),LOWER(AB$2:AB$1000))))</f>
        <v>0</v>
      </c>
      <c r="HG24" cm="1">
        <f t="array" ref="HG24">SUMPRODUCT((Y$2:Y$1000="PS")*(F$2:F$1000=GZ24)*ISNUMBER(SEARCH("selection",LOWER(Z$2:Z$1000)))*ISNUMBER(SEARCH(LOWER("model"),LOWER(AB$2:AB$1000))))</f>
        <v>0</v>
      </c>
      <c r="HH24" cm="1">
        <f t="array" ref="HH24">SUMPRODUCT((Y$2:Y$1000="PS")*(F$2:F$1000=GZ24)*ISNUMBER(SEARCH("selection",LOWER(Z$2:Z$1000)))*ISNUMBER(SEARCH(LOWER("dependency"),LOWER(AB$2:AB$1000))))</f>
        <v>0</v>
      </c>
      <c r="HI24" cm="1">
        <f t="array" ref="HI24">SUMPRODUCT((Y$2:Y$1000="PS")*(F$2:F$1000=GZ24)*ISNUMBER(SEARCH("selection",LOWER(Z$2:Z$1000)))*ISNUMBER(SEARCH(LOWER("quantum"),LOWER(AB$2:AB$1000))))</f>
        <v>0</v>
      </c>
      <c r="HJ24" cm="1">
        <f t="array" ref="HJ24">SUMPRODUCT((Y$2:Y$1000="PS")*(F$2:F$1000=GZ24)*ISNUMBER(SEARCH("selection",LOWER(Z$2:Z$1000)))*ISNUMBER(SEARCH(LOWER("genetic"),LOWER(AB$2:AB$1000))))</f>
        <v>0</v>
      </c>
      <c r="HK24" cm="1">
        <f t="array" ref="HK24">SUMPRODUCT((Y$2:Y$1000="PS")*(F$2:F$1000=GZ24)*ISNUMBER(SEARCH("selection",LOWER(Z$2:Z$1000)))*ISNUMBER(SEARCH(LOWER("graph"),LOWER(AB$2:AB$1000))))</f>
        <v>0</v>
      </c>
      <c r="HL24" cm="1">
        <f t="array" ref="HL24">SUMPRODUCT((Y$2:Y$1000="PS")*(F$2:F$1000=GZ24)*ISNUMBER(SEARCH("selection",LOWER(Z$2:Z$1000)))*ISNUMBER(SEARCH(LOWER("greedy"),LOWER(AB$2:AB$1000))))</f>
        <v>0</v>
      </c>
      <c r="HM24" cm="1">
        <f t="array" ref="HM24">SUMPRODUCT((Y$2:Y$1000="PS")*(F$2:F$1000=GZ24)*ISNUMBER(SEARCH("selection",LOWER(Z$2:Z$1000)))*ISNUMBER(SEARCH(LOWER("dynamic"),LOWER(AB$2:AB$1000))))</f>
        <v>0</v>
      </c>
    </row>
    <row r="25" spans="1:221" ht="409.6">
      <c r="A25" s="2">
        <v>10621714</v>
      </c>
      <c r="B25" s="2" t="s">
        <v>34</v>
      </c>
      <c r="C25" s="2" t="s">
        <v>332</v>
      </c>
      <c r="D25" s="2" t="s">
        <v>333</v>
      </c>
      <c r="E25" s="2" t="s">
        <v>334</v>
      </c>
      <c r="F25" s="2">
        <v>2024</v>
      </c>
      <c r="G25" s="2"/>
      <c r="H25" s="2"/>
      <c r="I25" s="2" t="s">
        <v>335</v>
      </c>
      <c r="J25" s="2" t="s">
        <v>336</v>
      </c>
      <c r="K25" s="2" t="s">
        <v>337</v>
      </c>
      <c r="L25" s="2" t="s">
        <v>338</v>
      </c>
      <c r="M25" s="2"/>
      <c r="N25" s="2" t="s">
        <v>126</v>
      </c>
      <c r="O25" s="2"/>
      <c r="P25" s="2"/>
      <c r="Q25" s="2"/>
      <c r="R25" s="2"/>
      <c r="S25" s="2"/>
      <c r="T25" s="2"/>
      <c r="U25" s="2"/>
      <c r="V25" s="2"/>
      <c r="W25" s="2"/>
      <c r="X25" s="2" t="s">
        <v>339</v>
      </c>
      <c r="Y25" s="2" t="s">
        <v>58</v>
      </c>
      <c r="Z25" s="2" t="s">
        <v>340</v>
      </c>
      <c r="AA25" s="2" t="s">
        <v>114</v>
      </c>
      <c r="AB25" s="2" t="s">
        <v>271</v>
      </c>
      <c r="AC25" s="2" t="s">
        <v>341</v>
      </c>
      <c r="AD25" s="2" t="s">
        <v>342</v>
      </c>
      <c r="AE25" s="2" t="s">
        <v>343</v>
      </c>
      <c r="AF25" s="2" t="s">
        <v>65</v>
      </c>
      <c r="AG25" s="2" t="s">
        <v>344</v>
      </c>
      <c r="AH25" s="2">
        <v>0.5</v>
      </c>
      <c r="AK25">
        <f t="shared" si="5"/>
        <v>1</v>
      </c>
      <c r="AL25">
        <f t="shared" si="0"/>
        <v>0</v>
      </c>
      <c r="AM25">
        <f t="shared" si="1"/>
        <v>0</v>
      </c>
      <c r="AN25">
        <f t="shared" si="2"/>
        <v>1</v>
      </c>
      <c r="FQ25" t="s">
        <v>1265</v>
      </c>
      <c r="FR25" t="s">
        <v>1266</v>
      </c>
      <c r="GZ25">
        <v>2018</v>
      </c>
      <c r="HA25" cm="1">
        <f t="array" ref="HA25">SUMPRODUCT((Y$2:Y$1000="PS")*(F$2:F$1000=GZ25)*ISNUMBER(SEARCH("selection",LOWER(Z$2:Z$1000)))*ISNUMBER(SEARCH(LOWER("metaheuristic"),LOWER(AB$2:AB$1000))))</f>
        <v>0</v>
      </c>
      <c r="HB25" cm="1">
        <f t="array" ref="HB25">SUMPRODUCT((Y$2:Y$1000="PS")*(F$2:F$1000=GZ25)*ISNUMBER(SEARCH("selection",LOWER(Z$2:Z$1000)))*ISNUMBER(SEARCH(LOWER("search"),LOWER(AB$2:AB$1000))))</f>
        <v>0</v>
      </c>
      <c r="HC25" cm="1">
        <f t="array" ref="HC25">SUMPRODUCT((Y$2:Y$1000="PS")*(F$2:F$1000=GZ25)*ISNUMBER(SEARCH("selection",LOWER(Z$2:Z$1000)))*ISNUMBER(SEARCH(LOWER("heuristic"),LOWER(AB$2:AB$1000))))</f>
        <v>3</v>
      </c>
      <c r="HD25" cm="1">
        <f t="array" ref="HD25">SUMPRODUCT((Y$2:Y$1000="PS")*(F$2:F$1000=GZ25)*ISNUMBER(SEARCH("selection",LOWER(Z$2:Z$1000)))*ISNUMBER(SEARCH(LOWER("ml"),LOWER(AB$2:AB$1000))))</f>
        <v>0</v>
      </c>
      <c r="HE25" cm="1">
        <f t="array" ref="HE25">SUMPRODUCT((Y$2:Y$1000="PS")*(F$2:F$1000=GZ25)*ISNUMBER(SEARCH("selection",LOWER(Z$2:Z$1000)))*ISNUMBER(SEARCH(LOWER("rule"),LOWER(AB$2:AB$1000))))</f>
        <v>0</v>
      </c>
      <c r="HF25" cm="1">
        <f t="array" ref="HF25">SUMPRODUCT((Y$2:Y$1000="PS")*(F$2:F$1000=GZ25)*ISNUMBER(SEARCH("selection",LOWER(Z$2:Z$1000)))*ISNUMBER(SEARCH(LOWER("similarity"),LOWER(AB$2:AB$1000))))</f>
        <v>0</v>
      </c>
      <c r="HG25" cm="1">
        <f t="array" ref="HG25">SUMPRODUCT((Y$2:Y$1000="PS")*(F$2:F$1000=GZ25)*ISNUMBER(SEARCH("selection",LOWER(Z$2:Z$1000)))*ISNUMBER(SEARCH(LOWER("model"),LOWER(AB$2:AB$1000))))</f>
        <v>0</v>
      </c>
      <c r="HH25" cm="1">
        <f t="array" ref="HH25">SUMPRODUCT((Y$2:Y$1000="PS")*(F$2:F$1000=GZ25)*ISNUMBER(SEARCH("selection",LOWER(Z$2:Z$1000)))*ISNUMBER(SEARCH(LOWER("dependency"),LOWER(AB$2:AB$1000))))</f>
        <v>0</v>
      </c>
      <c r="HI25" cm="1">
        <f t="array" ref="HI25">SUMPRODUCT((Y$2:Y$1000="PS")*(F$2:F$1000=GZ25)*ISNUMBER(SEARCH("selection",LOWER(Z$2:Z$1000)))*ISNUMBER(SEARCH(LOWER("quantum"),LOWER(AB$2:AB$1000))))</f>
        <v>0</v>
      </c>
      <c r="HJ25" cm="1">
        <f t="array" ref="HJ25">SUMPRODUCT((Y$2:Y$1000="PS")*(F$2:F$1000=GZ25)*ISNUMBER(SEARCH("selection",LOWER(Z$2:Z$1000)))*ISNUMBER(SEARCH(LOWER("genetic"),LOWER(AB$2:AB$1000))))</f>
        <v>0</v>
      </c>
      <c r="HK25" cm="1">
        <f t="array" ref="HK25">SUMPRODUCT((Y$2:Y$1000="PS")*(F$2:F$1000=GZ25)*ISNUMBER(SEARCH("selection",LOWER(Z$2:Z$1000)))*ISNUMBER(SEARCH(LOWER("graph"),LOWER(AB$2:AB$1000))))</f>
        <v>1</v>
      </c>
      <c r="HL25" cm="1">
        <f t="array" ref="HL25">SUMPRODUCT((Y$2:Y$1000="PS")*(F$2:F$1000=GZ25)*ISNUMBER(SEARCH("selection",LOWER(Z$2:Z$1000)))*ISNUMBER(SEARCH(LOWER("greedy"),LOWER(AB$2:AB$1000))))</f>
        <v>0</v>
      </c>
      <c r="HM25" cm="1">
        <f t="array" ref="HM25">SUMPRODUCT((Y$2:Y$1000="PS")*(F$2:F$1000=GZ25)*ISNUMBER(SEARCH("selection",LOWER(Z$2:Z$1000)))*ISNUMBER(SEARCH(LOWER("dynamic"),LOWER(AB$2:AB$1000))))</f>
        <v>0</v>
      </c>
    </row>
    <row r="26" spans="1:221" ht="409.6">
      <c r="A26" s="2">
        <v>8530033</v>
      </c>
      <c r="B26" s="2" t="s">
        <v>34</v>
      </c>
      <c r="C26" s="2" t="s">
        <v>345</v>
      </c>
      <c r="D26" s="2" t="s">
        <v>346</v>
      </c>
      <c r="E26" s="2" t="s">
        <v>347</v>
      </c>
      <c r="F26" s="2">
        <v>2018</v>
      </c>
      <c r="G26" s="2"/>
      <c r="H26" s="2"/>
      <c r="I26" s="2" t="s">
        <v>348</v>
      </c>
      <c r="J26" s="2" t="s">
        <v>349</v>
      </c>
      <c r="K26" s="2" t="s">
        <v>350</v>
      </c>
      <c r="L26" s="2" t="s">
        <v>351</v>
      </c>
      <c r="M26" s="2" t="s">
        <v>352</v>
      </c>
      <c r="N26" s="2" t="s">
        <v>353</v>
      </c>
      <c r="O26" s="2"/>
      <c r="P26" s="2"/>
      <c r="Q26" s="2"/>
      <c r="R26" s="2"/>
      <c r="S26" s="2"/>
      <c r="T26" s="2"/>
      <c r="U26" s="2"/>
      <c r="V26" s="2"/>
      <c r="W26" s="2"/>
      <c r="X26" s="2" t="s">
        <v>354</v>
      </c>
      <c r="Y26" s="2" t="s">
        <v>58</v>
      </c>
      <c r="Z26" s="2" t="s">
        <v>355</v>
      </c>
      <c r="AA26" s="2" t="s">
        <v>356</v>
      </c>
      <c r="AB26" s="2" t="s">
        <v>1385</v>
      </c>
      <c r="AC26" s="2" t="s">
        <v>357</v>
      </c>
      <c r="AD26" s="2" t="s">
        <v>358</v>
      </c>
      <c r="AE26" s="2" t="s">
        <v>359</v>
      </c>
      <c r="AF26" s="2" t="s">
        <v>360</v>
      </c>
      <c r="AG26" s="2" t="s">
        <v>361</v>
      </c>
      <c r="AH26" s="2">
        <v>0.5</v>
      </c>
      <c r="AK26">
        <f t="shared" si="5"/>
        <v>1</v>
      </c>
      <c r="AL26">
        <f t="shared" si="0"/>
        <v>0</v>
      </c>
      <c r="AM26">
        <f t="shared" si="1"/>
        <v>0</v>
      </c>
      <c r="AN26">
        <f t="shared" si="2"/>
        <v>1</v>
      </c>
      <c r="FQ26" t="s">
        <v>1288</v>
      </c>
      <c r="FR26" s="35" cm="1">
        <f t="array" ref="FR26">SUMPRODUCT((Y$2:Y$1000="PS")*ISNUMBER(SEARCH(LOWER(FQ26),LOWER(AA$2:AA$1000)))*ISNUMBER(SEARCH("selection",LOWER(Z$2:Z$1000))))</f>
        <v>6</v>
      </c>
      <c r="GZ26">
        <v>2019</v>
      </c>
      <c r="HA26" cm="1">
        <f t="array" ref="HA26">SUMPRODUCT((Y$2:Y$1000="PS")*(F$2:F$1000=GZ26)*ISNUMBER(SEARCH("selection",LOWER(Z$2:Z$1000)))*ISNUMBER(SEARCH(LOWER("metaheuristic"),LOWER(AB$2:AB$1000))))</f>
        <v>0</v>
      </c>
      <c r="HB26" cm="1">
        <f t="array" ref="HB26">SUMPRODUCT((Y$2:Y$1000="PS")*(F$2:F$1000=GZ26)*ISNUMBER(SEARCH("selection",LOWER(Z$2:Z$1000)))*ISNUMBER(SEARCH(LOWER("search"),LOWER(AB$2:AB$1000))))</f>
        <v>0</v>
      </c>
      <c r="HC26" cm="1">
        <f t="array" ref="HC26">SUMPRODUCT((Y$2:Y$1000="PS")*(F$2:F$1000=GZ26)*ISNUMBER(SEARCH("selection",LOWER(Z$2:Z$1000)))*ISNUMBER(SEARCH(LOWER("heuristic"),LOWER(AB$2:AB$1000))))</f>
        <v>1</v>
      </c>
      <c r="HD26" cm="1">
        <f t="array" ref="HD26">SUMPRODUCT((Y$2:Y$1000="PS")*(F$2:F$1000=GZ26)*ISNUMBER(SEARCH("selection",LOWER(Z$2:Z$1000)))*ISNUMBER(SEARCH(LOWER("ml"),LOWER(AB$2:AB$1000))))</f>
        <v>0</v>
      </c>
      <c r="HE26" cm="1">
        <f t="array" ref="HE26">SUMPRODUCT((Y$2:Y$1000="PS")*(F$2:F$1000=GZ26)*ISNUMBER(SEARCH("selection",LOWER(Z$2:Z$1000)))*ISNUMBER(SEARCH(LOWER("rule"),LOWER(AB$2:AB$1000))))</f>
        <v>0</v>
      </c>
      <c r="HF26" cm="1">
        <f t="array" ref="HF26">SUMPRODUCT((Y$2:Y$1000="PS")*(F$2:F$1000=GZ26)*ISNUMBER(SEARCH("selection",LOWER(Z$2:Z$1000)))*ISNUMBER(SEARCH(LOWER("similarity"),LOWER(AB$2:AB$1000))))</f>
        <v>0</v>
      </c>
      <c r="HG26" cm="1">
        <f t="array" ref="HG26">SUMPRODUCT((Y$2:Y$1000="PS")*(F$2:F$1000=GZ26)*ISNUMBER(SEARCH("selection",LOWER(Z$2:Z$1000)))*ISNUMBER(SEARCH(LOWER("model"),LOWER(AB$2:AB$1000))))</f>
        <v>0</v>
      </c>
      <c r="HH26" cm="1">
        <f t="array" ref="HH26">SUMPRODUCT((Y$2:Y$1000="PS")*(F$2:F$1000=GZ26)*ISNUMBER(SEARCH("selection",LOWER(Z$2:Z$1000)))*ISNUMBER(SEARCH(LOWER("dependency"),LOWER(AB$2:AB$1000))))</f>
        <v>0</v>
      </c>
      <c r="HI26" cm="1">
        <f t="array" ref="HI26">SUMPRODUCT((Y$2:Y$1000="PS")*(F$2:F$1000=GZ26)*ISNUMBER(SEARCH("selection",LOWER(Z$2:Z$1000)))*ISNUMBER(SEARCH(LOWER("quantum"),LOWER(AB$2:AB$1000))))</f>
        <v>0</v>
      </c>
      <c r="HJ26" cm="1">
        <f t="array" ref="HJ26">SUMPRODUCT((Y$2:Y$1000="PS")*(F$2:F$1000=GZ26)*ISNUMBER(SEARCH("selection",LOWER(Z$2:Z$1000)))*ISNUMBER(SEARCH(LOWER("genetic"),LOWER(AB$2:AB$1000))))</f>
        <v>0</v>
      </c>
      <c r="HK26" cm="1">
        <f t="array" ref="HK26">SUMPRODUCT((Y$2:Y$1000="PS")*(F$2:F$1000=GZ26)*ISNUMBER(SEARCH("selection",LOWER(Z$2:Z$1000)))*ISNUMBER(SEARCH(LOWER("graph"),LOWER(AB$2:AB$1000))))</f>
        <v>0</v>
      </c>
      <c r="HL26" cm="1">
        <f t="array" ref="HL26">SUMPRODUCT((Y$2:Y$1000="PS")*(F$2:F$1000=GZ26)*ISNUMBER(SEARCH("selection",LOWER(Z$2:Z$1000)))*ISNUMBER(SEARCH(LOWER("greedy"),LOWER(AB$2:AB$1000))))</f>
        <v>0</v>
      </c>
      <c r="HM26" cm="1">
        <f t="array" ref="HM26">SUMPRODUCT((Y$2:Y$1000="PS")*(F$2:F$1000=GZ26)*ISNUMBER(SEARCH("selection",LOWER(Z$2:Z$1000)))*ISNUMBER(SEARCH(LOWER("dynamic"),LOWER(AB$2:AB$1000))))</f>
        <v>1</v>
      </c>
    </row>
    <row r="27" spans="1:221" ht="409.6">
      <c r="A27" s="2">
        <v>9825820</v>
      </c>
      <c r="B27" s="2" t="s">
        <v>34</v>
      </c>
      <c r="C27" s="2" t="s">
        <v>362</v>
      </c>
      <c r="D27" s="2" t="s">
        <v>363</v>
      </c>
      <c r="E27" s="2" t="s">
        <v>364</v>
      </c>
      <c r="F27" s="2">
        <v>2022</v>
      </c>
      <c r="G27" s="2"/>
      <c r="H27" s="2"/>
      <c r="I27" s="2" t="s">
        <v>365</v>
      </c>
      <c r="J27" s="2" t="s">
        <v>366</v>
      </c>
      <c r="K27" s="2" t="s">
        <v>367</v>
      </c>
      <c r="L27" s="2" t="s">
        <v>368</v>
      </c>
      <c r="M27" s="2" t="s">
        <v>369</v>
      </c>
      <c r="N27" s="2" t="s">
        <v>126</v>
      </c>
      <c r="O27" s="2"/>
      <c r="P27" s="2"/>
      <c r="Q27" s="2"/>
      <c r="R27" s="2"/>
      <c r="S27" s="2"/>
      <c r="T27" s="2"/>
      <c r="U27" s="2"/>
      <c r="V27" s="2"/>
      <c r="W27" s="2"/>
      <c r="X27" s="2" t="s">
        <v>370</v>
      </c>
      <c r="Y27" s="2" t="s">
        <v>58</v>
      </c>
      <c r="Z27" s="2" t="s">
        <v>220</v>
      </c>
      <c r="AA27" s="2" t="s">
        <v>114</v>
      </c>
      <c r="AB27" s="2" t="s">
        <v>371</v>
      </c>
      <c r="AC27" s="2" t="s">
        <v>208</v>
      </c>
      <c r="AD27" s="2" t="s">
        <v>372</v>
      </c>
      <c r="AE27" s="2" t="s">
        <v>373</v>
      </c>
      <c r="AF27" s="2" t="s">
        <v>65</v>
      </c>
      <c r="AG27" s="2" t="s">
        <v>374</v>
      </c>
      <c r="AH27" s="2">
        <v>0.5</v>
      </c>
      <c r="AK27">
        <f t="shared" si="5"/>
        <v>1</v>
      </c>
      <c r="AL27">
        <f t="shared" si="0"/>
        <v>0</v>
      </c>
      <c r="AM27">
        <f t="shared" si="1"/>
        <v>0</v>
      </c>
      <c r="AN27">
        <f t="shared" si="2"/>
        <v>1</v>
      </c>
      <c r="FQ27" t="s">
        <v>1289</v>
      </c>
      <c r="FR27" s="35" cm="1">
        <f t="array" ref="FR27">SUMPRODUCT((Y$2:Y$1000="PS")*ISNUMBER(SEARCH(LOWER(FQ27),LOWER(AA$2:AA$1000)))*ISNUMBER(SEARCH("selection",LOWER(Z$2:Z$1000))))</f>
        <v>0</v>
      </c>
      <c r="GZ27">
        <v>2020</v>
      </c>
      <c r="HA27" cm="1">
        <f t="array" ref="HA27">SUMPRODUCT((Y$2:Y$1000="PS")*(F$2:F$1000=GZ27)*ISNUMBER(SEARCH("selection",LOWER(Z$2:Z$1000)))*ISNUMBER(SEARCH(LOWER("metaheuristic"),LOWER(AB$2:AB$1000))))</f>
        <v>0</v>
      </c>
      <c r="HB27" cm="1">
        <f t="array" ref="HB27">SUMPRODUCT((Y$2:Y$1000="PS")*(F$2:F$1000=GZ27)*ISNUMBER(SEARCH("selection",LOWER(Z$2:Z$1000)))*ISNUMBER(SEARCH(LOWER("search"),LOWER(AB$2:AB$1000))))</f>
        <v>0</v>
      </c>
      <c r="HC27" cm="1">
        <f t="array" ref="HC27">SUMPRODUCT((Y$2:Y$1000="PS")*(F$2:F$1000=GZ27)*ISNUMBER(SEARCH("selection",LOWER(Z$2:Z$1000)))*ISNUMBER(SEARCH(LOWER("heuristic"),LOWER(AB$2:AB$1000))))</f>
        <v>1</v>
      </c>
      <c r="HD27" cm="1">
        <f t="array" ref="HD27">SUMPRODUCT((Y$2:Y$1000="PS")*(F$2:F$1000=GZ27)*ISNUMBER(SEARCH("selection",LOWER(Z$2:Z$1000)))*ISNUMBER(SEARCH(LOWER("ml"),LOWER(AB$2:AB$1000))))</f>
        <v>0</v>
      </c>
      <c r="HE27" cm="1">
        <f t="array" ref="HE27">SUMPRODUCT((Y$2:Y$1000="PS")*(F$2:F$1000=GZ27)*ISNUMBER(SEARCH("selection",LOWER(Z$2:Z$1000)))*ISNUMBER(SEARCH(LOWER("rule"),LOWER(AB$2:AB$1000))))</f>
        <v>0</v>
      </c>
      <c r="HF27" cm="1">
        <f t="array" ref="HF27">SUMPRODUCT((Y$2:Y$1000="PS")*(F$2:F$1000=GZ27)*ISNUMBER(SEARCH("selection",LOWER(Z$2:Z$1000)))*ISNUMBER(SEARCH(LOWER("similarity"),LOWER(AB$2:AB$1000))))</f>
        <v>0</v>
      </c>
      <c r="HG27" cm="1">
        <f t="array" ref="HG27">SUMPRODUCT((Y$2:Y$1000="PS")*(F$2:F$1000=GZ27)*ISNUMBER(SEARCH("selection",LOWER(Z$2:Z$1000)))*ISNUMBER(SEARCH(LOWER("model"),LOWER(AB$2:AB$1000))))</f>
        <v>0</v>
      </c>
      <c r="HH27" cm="1">
        <f t="array" ref="HH27">SUMPRODUCT((Y$2:Y$1000="PS")*(F$2:F$1000=GZ27)*ISNUMBER(SEARCH("selection",LOWER(Z$2:Z$1000)))*ISNUMBER(SEARCH(LOWER("dependency"),LOWER(AB$2:AB$1000))))</f>
        <v>0</v>
      </c>
      <c r="HI27" cm="1">
        <f t="array" ref="HI27">SUMPRODUCT((Y$2:Y$1000="PS")*(F$2:F$1000=GZ27)*ISNUMBER(SEARCH("selection",LOWER(Z$2:Z$1000)))*ISNUMBER(SEARCH(LOWER("quantum"),LOWER(AB$2:AB$1000))))</f>
        <v>0</v>
      </c>
      <c r="HJ27" cm="1">
        <f t="array" ref="HJ27">SUMPRODUCT((Y$2:Y$1000="PS")*(F$2:F$1000=GZ27)*ISNUMBER(SEARCH("selection",LOWER(Z$2:Z$1000)))*ISNUMBER(SEARCH(LOWER("genetic"),LOWER(AB$2:AB$1000))))</f>
        <v>0</v>
      </c>
      <c r="HK27" cm="1">
        <f t="array" ref="HK27">SUMPRODUCT((Y$2:Y$1000="PS")*(F$2:F$1000=GZ27)*ISNUMBER(SEARCH("selection",LOWER(Z$2:Z$1000)))*ISNUMBER(SEARCH(LOWER("graph"),LOWER(AB$2:AB$1000))))</f>
        <v>0</v>
      </c>
      <c r="HL27" cm="1">
        <f t="array" ref="HL27">SUMPRODUCT((Y$2:Y$1000="PS")*(F$2:F$1000=GZ27)*ISNUMBER(SEARCH("selection",LOWER(Z$2:Z$1000)))*ISNUMBER(SEARCH(LOWER("greedy"),LOWER(AB$2:AB$1000))))</f>
        <v>0</v>
      </c>
      <c r="HM27" cm="1">
        <f t="array" ref="HM27">SUMPRODUCT((Y$2:Y$1000="PS")*(F$2:F$1000=GZ27)*ISNUMBER(SEARCH("selection",LOWER(Z$2:Z$1000)))*ISNUMBER(SEARCH(LOWER("dynamic"),LOWER(AB$2:AB$1000))))</f>
        <v>0</v>
      </c>
    </row>
    <row r="28" spans="1:221" ht="409.6">
      <c r="A28" s="2">
        <v>7272927</v>
      </c>
      <c r="B28" s="2" t="s">
        <v>34</v>
      </c>
      <c r="C28" s="2" t="s">
        <v>375</v>
      </c>
      <c r="D28" s="2" t="s">
        <v>285</v>
      </c>
      <c r="E28" s="2" t="s">
        <v>376</v>
      </c>
      <c r="F28" s="2">
        <v>2015</v>
      </c>
      <c r="G28" s="2"/>
      <c r="H28" s="2"/>
      <c r="I28" s="2" t="s">
        <v>377</v>
      </c>
      <c r="J28" s="2" t="s">
        <v>378</v>
      </c>
      <c r="K28" s="2" t="s">
        <v>379</v>
      </c>
      <c r="L28" s="2" t="s">
        <v>380</v>
      </c>
      <c r="M28" s="2"/>
      <c r="N28" s="2" t="s">
        <v>231</v>
      </c>
      <c r="O28" s="2"/>
      <c r="P28" s="2"/>
      <c r="Q28" s="2"/>
      <c r="R28" s="2"/>
      <c r="S28" s="2"/>
      <c r="T28" s="2"/>
      <c r="U28" s="2"/>
      <c r="V28" s="2"/>
      <c r="W28" s="2"/>
      <c r="X28" s="2" t="s">
        <v>381</v>
      </c>
      <c r="Y28" s="2" t="s">
        <v>58</v>
      </c>
      <c r="Z28" s="2" t="s">
        <v>382</v>
      </c>
      <c r="AA28" s="2" t="s">
        <v>114</v>
      </c>
      <c r="AB28" s="2" t="s">
        <v>383</v>
      </c>
      <c r="AC28" s="2" t="s">
        <v>384</v>
      </c>
      <c r="AD28" s="2"/>
      <c r="AE28" s="2" t="s">
        <v>385</v>
      </c>
      <c r="AF28" s="2"/>
      <c r="AG28" s="2" t="s">
        <v>66</v>
      </c>
      <c r="AH28" s="2">
        <v>0</v>
      </c>
      <c r="AK28">
        <f t="shared" si="5"/>
        <v>1</v>
      </c>
      <c r="AL28">
        <f t="shared" si="0"/>
        <v>0</v>
      </c>
      <c r="AM28">
        <f t="shared" si="1"/>
        <v>0</v>
      </c>
      <c r="AN28">
        <f t="shared" si="2"/>
        <v>1</v>
      </c>
      <c r="FQ28" t="s">
        <v>1290</v>
      </c>
      <c r="FR28" s="35" cm="1">
        <f t="array" ref="FR28">SUMPRODUCT((Y$2:Y$1000="PS")*ISNUMBER(SEARCH(LOWER(FQ28),LOWER(AA$2:AA$1000)))*ISNUMBER(SEARCH("selection",LOWER(Z$2:Z$1000))))</f>
        <v>1</v>
      </c>
      <c r="GZ28">
        <v>2021</v>
      </c>
      <c r="HA28" cm="1">
        <f t="array" ref="HA28">SUMPRODUCT((Y$2:Y$1000="PS")*(F$2:F$1000=GZ28)*ISNUMBER(SEARCH("selection",LOWER(Z$2:Z$1000)))*ISNUMBER(SEARCH(LOWER("metaheuristic"),LOWER(AB$2:AB$1000))))</f>
        <v>0</v>
      </c>
      <c r="HB28" cm="1">
        <f t="array" ref="HB28">SUMPRODUCT((Y$2:Y$1000="PS")*(F$2:F$1000=GZ28)*ISNUMBER(SEARCH("selection",LOWER(Z$2:Z$1000)))*ISNUMBER(SEARCH(LOWER("search"),LOWER(AB$2:AB$1000))))</f>
        <v>0</v>
      </c>
      <c r="HC28" cm="1">
        <f t="array" ref="HC28">SUMPRODUCT((Y$2:Y$1000="PS")*(F$2:F$1000=GZ28)*ISNUMBER(SEARCH("selection",LOWER(Z$2:Z$1000)))*ISNUMBER(SEARCH(LOWER("heuristic"),LOWER(AB$2:AB$1000))))</f>
        <v>0</v>
      </c>
      <c r="HD28" cm="1">
        <f t="array" ref="HD28">SUMPRODUCT((Y$2:Y$1000="PS")*(F$2:F$1000=GZ28)*ISNUMBER(SEARCH("selection",LOWER(Z$2:Z$1000)))*ISNUMBER(SEARCH(LOWER("ml"),LOWER(AB$2:AB$1000))))</f>
        <v>1</v>
      </c>
      <c r="HE28" cm="1">
        <f t="array" ref="HE28">SUMPRODUCT((Y$2:Y$1000="PS")*(F$2:F$1000=GZ28)*ISNUMBER(SEARCH("selection",LOWER(Z$2:Z$1000)))*ISNUMBER(SEARCH(LOWER("rule"),LOWER(AB$2:AB$1000))))</f>
        <v>0</v>
      </c>
      <c r="HF28" cm="1">
        <f t="array" ref="HF28">SUMPRODUCT((Y$2:Y$1000="PS")*(F$2:F$1000=GZ28)*ISNUMBER(SEARCH("selection",LOWER(Z$2:Z$1000)))*ISNUMBER(SEARCH(LOWER("similarity"),LOWER(AB$2:AB$1000))))</f>
        <v>0</v>
      </c>
      <c r="HG28" cm="1">
        <f t="array" ref="HG28">SUMPRODUCT((Y$2:Y$1000="PS")*(F$2:F$1000=GZ28)*ISNUMBER(SEARCH("selection",LOWER(Z$2:Z$1000)))*ISNUMBER(SEARCH(LOWER("model"),LOWER(AB$2:AB$1000))))</f>
        <v>0</v>
      </c>
      <c r="HH28" cm="1">
        <f t="array" ref="HH28">SUMPRODUCT((Y$2:Y$1000="PS")*(F$2:F$1000=GZ28)*ISNUMBER(SEARCH("selection",LOWER(Z$2:Z$1000)))*ISNUMBER(SEARCH(LOWER("dependency"),LOWER(AB$2:AB$1000))))</f>
        <v>0</v>
      </c>
      <c r="HI28" cm="1">
        <f t="array" ref="HI28">SUMPRODUCT((Y$2:Y$1000="PS")*(F$2:F$1000=GZ28)*ISNUMBER(SEARCH("selection",LOWER(Z$2:Z$1000)))*ISNUMBER(SEARCH(LOWER("quantum"),LOWER(AB$2:AB$1000))))</f>
        <v>0</v>
      </c>
      <c r="HJ28" cm="1">
        <f t="array" ref="HJ28">SUMPRODUCT((Y$2:Y$1000="PS")*(F$2:F$1000=GZ28)*ISNUMBER(SEARCH("selection",LOWER(Z$2:Z$1000)))*ISNUMBER(SEARCH(LOWER("genetic"),LOWER(AB$2:AB$1000))))</f>
        <v>0</v>
      </c>
      <c r="HK28" cm="1">
        <f t="array" ref="HK28">SUMPRODUCT((Y$2:Y$1000="PS")*(F$2:F$1000=GZ28)*ISNUMBER(SEARCH("selection",LOWER(Z$2:Z$1000)))*ISNUMBER(SEARCH(LOWER("graph"),LOWER(AB$2:AB$1000))))</f>
        <v>0</v>
      </c>
      <c r="HL28" cm="1">
        <f t="array" ref="HL28">SUMPRODUCT((Y$2:Y$1000="PS")*(F$2:F$1000=GZ28)*ISNUMBER(SEARCH("selection",LOWER(Z$2:Z$1000)))*ISNUMBER(SEARCH(LOWER("greedy"),LOWER(AB$2:AB$1000))))</f>
        <v>0</v>
      </c>
      <c r="HM28" cm="1">
        <f t="array" ref="HM28">SUMPRODUCT((Y$2:Y$1000="PS")*(F$2:F$1000=GZ28)*ISNUMBER(SEARCH("selection",LOWER(Z$2:Z$1000)))*ISNUMBER(SEARCH(LOWER("dynamic"),LOWER(AB$2:AB$1000))))</f>
        <v>0</v>
      </c>
    </row>
    <row r="29" spans="1:221" ht="409.6">
      <c r="A29" s="2">
        <v>8539203</v>
      </c>
      <c r="B29" s="2" t="s">
        <v>34</v>
      </c>
      <c r="C29" s="2" t="s">
        <v>386</v>
      </c>
      <c r="D29" s="2" t="s">
        <v>387</v>
      </c>
      <c r="E29" s="2" t="s">
        <v>388</v>
      </c>
      <c r="F29" s="2">
        <v>2018</v>
      </c>
      <c r="G29" s="2"/>
      <c r="H29" s="2"/>
      <c r="I29" s="2" t="s">
        <v>389</v>
      </c>
      <c r="J29" s="2" t="s">
        <v>390</v>
      </c>
      <c r="K29" s="2" t="s">
        <v>391</v>
      </c>
      <c r="L29" s="2" t="s">
        <v>392</v>
      </c>
      <c r="M29" s="2"/>
      <c r="N29" s="2" t="s">
        <v>393</v>
      </c>
      <c r="O29" s="2"/>
      <c r="P29" s="2"/>
      <c r="Q29" s="2"/>
      <c r="R29" s="2"/>
      <c r="S29" s="2"/>
      <c r="T29" s="2"/>
      <c r="U29" s="2"/>
      <c r="V29" s="2"/>
      <c r="W29" s="2"/>
      <c r="X29" s="2" t="s">
        <v>394</v>
      </c>
      <c r="Y29" s="2" t="s">
        <v>58</v>
      </c>
      <c r="Z29" s="2" t="s">
        <v>355</v>
      </c>
      <c r="AA29" s="2" t="s">
        <v>1360</v>
      </c>
      <c r="AB29" s="2" t="s">
        <v>1371</v>
      </c>
      <c r="AC29" s="2" t="s">
        <v>384</v>
      </c>
      <c r="AD29" s="2" t="s">
        <v>396</v>
      </c>
      <c r="AE29" s="2" t="s">
        <v>397</v>
      </c>
      <c r="AF29" s="2" t="s">
        <v>184</v>
      </c>
      <c r="AG29" s="2" t="s">
        <v>398</v>
      </c>
      <c r="AH29" s="2">
        <v>0.5</v>
      </c>
      <c r="AK29">
        <f t="shared" si="5"/>
        <v>1</v>
      </c>
      <c r="AL29">
        <f t="shared" si="0"/>
        <v>0</v>
      </c>
      <c r="AM29">
        <f t="shared" si="1"/>
        <v>0</v>
      </c>
      <c r="AN29">
        <f t="shared" si="2"/>
        <v>1</v>
      </c>
      <c r="FQ29" t="s">
        <v>1291</v>
      </c>
      <c r="FR29" s="35" cm="1">
        <f t="array" ref="FR29">SUMPRODUCT((Y$2:Y$1000="PS")*ISNUMBER(SEARCH(LOWER(FQ29),LOWER(AA$2:AA$1000)))*ISNUMBER(SEARCH("selection",LOWER(Z$2:Z$1000))))</f>
        <v>0</v>
      </c>
      <c r="GZ29">
        <v>2022</v>
      </c>
      <c r="HA29" cm="1">
        <f t="array" ref="HA29">SUMPRODUCT((Y$2:Y$1000="PS")*(F$2:F$1000=GZ29)*ISNUMBER(SEARCH("selection",LOWER(Z$2:Z$1000)))*ISNUMBER(SEARCH(LOWER("metaheuristic"),LOWER(AB$2:AB$1000))))</f>
        <v>0</v>
      </c>
      <c r="HB29" cm="1">
        <f t="array" ref="HB29">SUMPRODUCT((Y$2:Y$1000="PS")*(F$2:F$1000=GZ29)*ISNUMBER(SEARCH("selection",LOWER(Z$2:Z$1000)))*ISNUMBER(SEARCH(LOWER("search"),LOWER(AB$2:AB$1000))))</f>
        <v>0</v>
      </c>
      <c r="HC29" cm="1">
        <f t="array" ref="HC29">SUMPRODUCT((Y$2:Y$1000="PS")*(F$2:F$1000=GZ29)*ISNUMBER(SEARCH("selection",LOWER(Z$2:Z$1000)))*ISNUMBER(SEARCH(LOWER("heuristic"),LOWER(AB$2:AB$1000))))</f>
        <v>1</v>
      </c>
      <c r="HD29" cm="1">
        <f t="array" ref="HD29">SUMPRODUCT((Y$2:Y$1000="PS")*(F$2:F$1000=GZ29)*ISNUMBER(SEARCH("selection",LOWER(Z$2:Z$1000)))*ISNUMBER(SEARCH(LOWER("ml"),LOWER(AB$2:AB$1000))))</f>
        <v>0</v>
      </c>
      <c r="HE29" cm="1">
        <f t="array" ref="HE29">SUMPRODUCT((Y$2:Y$1000="PS")*(F$2:F$1000=GZ29)*ISNUMBER(SEARCH("selection",LOWER(Z$2:Z$1000)))*ISNUMBER(SEARCH(LOWER("rule"),LOWER(AB$2:AB$1000))))</f>
        <v>0</v>
      </c>
      <c r="HF29" cm="1">
        <f t="array" ref="HF29">SUMPRODUCT((Y$2:Y$1000="PS")*(F$2:F$1000=GZ29)*ISNUMBER(SEARCH("selection",LOWER(Z$2:Z$1000)))*ISNUMBER(SEARCH(LOWER("similarity"),LOWER(AB$2:AB$1000))))</f>
        <v>0</v>
      </c>
      <c r="HG29" cm="1">
        <f t="array" ref="HG29">SUMPRODUCT((Y$2:Y$1000="PS")*(F$2:F$1000=GZ29)*ISNUMBER(SEARCH("selection",LOWER(Z$2:Z$1000)))*ISNUMBER(SEARCH(LOWER("model"),LOWER(AB$2:AB$1000))))</f>
        <v>0</v>
      </c>
      <c r="HH29" cm="1">
        <f t="array" ref="HH29">SUMPRODUCT((Y$2:Y$1000="PS")*(F$2:F$1000=GZ29)*ISNUMBER(SEARCH("selection",LOWER(Z$2:Z$1000)))*ISNUMBER(SEARCH(LOWER("dependency"),LOWER(AB$2:AB$1000))))</f>
        <v>0</v>
      </c>
      <c r="HI29" cm="1">
        <f t="array" ref="HI29">SUMPRODUCT((Y$2:Y$1000="PS")*(F$2:F$1000=GZ29)*ISNUMBER(SEARCH("selection",LOWER(Z$2:Z$1000)))*ISNUMBER(SEARCH(LOWER("quantum"),LOWER(AB$2:AB$1000))))</f>
        <v>0</v>
      </c>
      <c r="HJ29" cm="1">
        <f t="array" ref="HJ29">SUMPRODUCT((Y$2:Y$1000="PS")*(F$2:F$1000=GZ29)*ISNUMBER(SEARCH("selection",LOWER(Z$2:Z$1000)))*ISNUMBER(SEARCH(LOWER("genetic"),LOWER(AB$2:AB$1000))))</f>
        <v>0</v>
      </c>
      <c r="HK29" cm="1">
        <f t="array" ref="HK29">SUMPRODUCT((Y$2:Y$1000="PS")*(F$2:F$1000=GZ29)*ISNUMBER(SEARCH("selection",LOWER(Z$2:Z$1000)))*ISNUMBER(SEARCH(LOWER("graph"),LOWER(AB$2:AB$1000))))</f>
        <v>0</v>
      </c>
      <c r="HL29" cm="1">
        <f t="array" ref="HL29">SUMPRODUCT((Y$2:Y$1000="PS")*(F$2:F$1000=GZ29)*ISNUMBER(SEARCH("selection",LOWER(Z$2:Z$1000)))*ISNUMBER(SEARCH(LOWER("greedy"),LOWER(AB$2:AB$1000))))</f>
        <v>0</v>
      </c>
      <c r="HM29" cm="1">
        <f t="array" ref="HM29">SUMPRODUCT((Y$2:Y$1000="PS")*(F$2:F$1000=GZ29)*ISNUMBER(SEARCH("selection",LOWER(Z$2:Z$1000)))*ISNUMBER(SEARCH(LOWER("dynamic"),LOWER(AB$2:AB$1000))))</f>
        <v>0</v>
      </c>
    </row>
    <row r="30" spans="1:221" ht="409.6">
      <c r="A30" s="2">
        <v>6928903</v>
      </c>
      <c r="B30" s="2" t="s">
        <v>34</v>
      </c>
      <c r="C30" s="2" t="s">
        <v>399</v>
      </c>
      <c r="D30" s="2" t="s">
        <v>400</v>
      </c>
      <c r="E30" s="2" t="s">
        <v>401</v>
      </c>
      <c r="F30" s="2">
        <v>2014</v>
      </c>
      <c r="G30" s="2"/>
      <c r="H30" s="2"/>
      <c r="I30" s="2" t="s">
        <v>402</v>
      </c>
      <c r="J30" s="2" t="s">
        <v>403</v>
      </c>
      <c r="K30" s="2" t="s">
        <v>404</v>
      </c>
      <c r="L30" s="2" t="s">
        <v>405</v>
      </c>
      <c r="M30" s="2"/>
      <c r="N30" s="2" t="s">
        <v>102</v>
      </c>
      <c r="O30" s="2"/>
      <c r="P30" s="2"/>
      <c r="Q30" s="2"/>
      <c r="R30" s="2"/>
      <c r="S30" s="2"/>
      <c r="T30" s="2"/>
      <c r="U30" s="2"/>
      <c r="V30" s="2"/>
      <c r="W30" s="2"/>
      <c r="X30" s="2" t="s">
        <v>406</v>
      </c>
      <c r="Y30" s="2" t="s">
        <v>58</v>
      </c>
      <c r="Z30" s="2" t="s">
        <v>407</v>
      </c>
      <c r="AA30" s="2" t="s">
        <v>408</v>
      </c>
      <c r="AB30" s="2" t="s">
        <v>409</v>
      </c>
      <c r="AC30" s="2" t="s">
        <v>131</v>
      </c>
      <c r="AD30" s="2" t="s">
        <v>410</v>
      </c>
      <c r="AE30" s="2"/>
      <c r="AF30" s="2" t="s">
        <v>411</v>
      </c>
      <c r="AG30" s="2" t="s">
        <v>66</v>
      </c>
      <c r="AH30" s="2">
        <v>0.5</v>
      </c>
      <c r="AK30">
        <f t="shared" si="5"/>
        <v>1</v>
      </c>
      <c r="AL30">
        <f t="shared" si="0"/>
        <v>0</v>
      </c>
      <c r="AM30">
        <f t="shared" si="1"/>
        <v>0</v>
      </c>
      <c r="AN30">
        <f t="shared" si="2"/>
        <v>1</v>
      </c>
      <c r="FQ30" t="s">
        <v>1292</v>
      </c>
      <c r="FR30" s="35" cm="1">
        <f t="array" ref="FR30">SUMPRODUCT((Y$2:Y$1000="PS")*ISNUMBER(SEARCH(LOWER(FQ30),LOWER(AA$2:AA$1000)))*ISNUMBER(SEARCH("selection",LOWER(Z$2:Z$1000))))</f>
        <v>3</v>
      </c>
      <c r="GZ30">
        <v>2023</v>
      </c>
      <c r="HA30" cm="1">
        <f t="array" ref="HA30">SUMPRODUCT((Y$2:Y$1000="PS")*(F$2:F$1000=GZ30)*ISNUMBER(SEARCH("selection",LOWER(Z$2:Z$1000)))*ISNUMBER(SEARCH(LOWER("metaheuristic"),LOWER(AB$2:AB$1000))))</f>
        <v>0</v>
      </c>
      <c r="HB30" cm="1">
        <f t="array" ref="HB30">SUMPRODUCT((Y$2:Y$1000="PS")*(F$2:F$1000=GZ30)*ISNUMBER(SEARCH("selection",LOWER(Z$2:Z$1000)))*ISNUMBER(SEARCH(LOWER("search"),LOWER(AB$2:AB$1000))))</f>
        <v>0</v>
      </c>
      <c r="HC30" cm="1">
        <f t="array" ref="HC30">SUMPRODUCT((Y$2:Y$1000="PS")*(F$2:F$1000=GZ30)*ISNUMBER(SEARCH("selection",LOWER(Z$2:Z$1000)))*ISNUMBER(SEARCH(LOWER("heuristic"),LOWER(AB$2:AB$1000))))</f>
        <v>0</v>
      </c>
      <c r="HD30" cm="1">
        <f t="array" ref="HD30">SUMPRODUCT((Y$2:Y$1000="PS")*(F$2:F$1000=GZ30)*ISNUMBER(SEARCH("selection",LOWER(Z$2:Z$1000)))*ISNUMBER(SEARCH(LOWER("ml"),LOWER(AB$2:AB$1000))))</f>
        <v>0</v>
      </c>
      <c r="HE30" cm="1">
        <f t="array" ref="HE30">SUMPRODUCT((Y$2:Y$1000="PS")*(F$2:F$1000=GZ30)*ISNUMBER(SEARCH("selection",LOWER(Z$2:Z$1000)))*ISNUMBER(SEARCH(LOWER("rule"),LOWER(AB$2:AB$1000))))</f>
        <v>0</v>
      </c>
      <c r="HF30" cm="1">
        <f t="array" ref="HF30">SUMPRODUCT((Y$2:Y$1000="PS")*(F$2:F$1000=GZ30)*ISNUMBER(SEARCH("selection",LOWER(Z$2:Z$1000)))*ISNUMBER(SEARCH(LOWER("similarity"),LOWER(AB$2:AB$1000))))</f>
        <v>0</v>
      </c>
      <c r="HG30" cm="1">
        <f t="array" ref="HG30">SUMPRODUCT((Y$2:Y$1000="PS")*(F$2:F$1000=GZ30)*ISNUMBER(SEARCH("selection",LOWER(Z$2:Z$1000)))*ISNUMBER(SEARCH(LOWER("model"),LOWER(AB$2:AB$1000))))</f>
        <v>0</v>
      </c>
      <c r="HH30" cm="1">
        <f t="array" ref="HH30">SUMPRODUCT((Y$2:Y$1000="PS")*(F$2:F$1000=GZ30)*ISNUMBER(SEARCH("selection",LOWER(Z$2:Z$1000)))*ISNUMBER(SEARCH(LOWER("dependency"),LOWER(AB$2:AB$1000))))</f>
        <v>0</v>
      </c>
      <c r="HI30" cm="1">
        <f t="array" ref="HI30">SUMPRODUCT((Y$2:Y$1000="PS")*(F$2:F$1000=GZ30)*ISNUMBER(SEARCH("selection",LOWER(Z$2:Z$1000)))*ISNUMBER(SEARCH(LOWER("quantum"),LOWER(AB$2:AB$1000))))</f>
        <v>0</v>
      </c>
      <c r="HJ30" cm="1">
        <f t="array" ref="HJ30">SUMPRODUCT((Y$2:Y$1000="PS")*(F$2:F$1000=GZ30)*ISNUMBER(SEARCH("selection",LOWER(Z$2:Z$1000)))*ISNUMBER(SEARCH(LOWER("genetic"),LOWER(AB$2:AB$1000))))</f>
        <v>0</v>
      </c>
      <c r="HK30" cm="1">
        <f t="array" ref="HK30">SUMPRODUCT((Y$2:Y$1000="PS")*(F$2:F$1000=GZ30)*ISNUMBER(SEARCH("selection",LOWER(Z$2:Z$1000)))*ISNUMBER(SEARCH(LOWER("graph"),LOWER(AB$2:AB$1000))))</f>
        <v>0</v>
      </c>
      <c r="HL30" cm="1">
        <f t="array" ref="HL30">SUMPRODUCT((Y$2:Y$1000="PS")*(F$2:F$1000=GZ30)*ISNUMBER(SEARCH("selection",LOWER(Z$2:Z$1000)))*ISNUMBER(SEARCH(LOWER("greedy"),LOWER(AB$2:AB$1000))))</f>
        <v>0</v>
      </c>
      <c r="HM30" cm="1">
        <f t="array" ref="HM30">SUMPRODUCT((Y$2:Y$1000="PS")*(F$2:F$1000=GZ30)*ISNUMBER(SEARCH("selection",LOWER(Z$2:Z$1000)))*ISNUMBER(SEARCH(LOWER("dynamic"),LOWER(AB$2:AB$1000))))</f>
        <v>0</v>
      </c>
    </row>
    <row r="31" spans="1:221" ht="409.6">
      <c r="A31" s="2">
        <v>7091286</v>
      </c>
      <c r="B31" s="2" t="s">
        <v>34</v>
      </c>
      <c r="C31" s="2" t="s">
        <v>412</v>
      </c>
      <c r="D31" s="2" t="s">
        <v>413</v>
      </c>
      <c r="E31" s="2" t="s">
        <v>414</v>
      </c>
      <c r="F31" s="2">
        <v>2014</v>
      </c>
      <c r="G31" s="2">
        <v>1</v>
      </c>
      <c r="H31" s="2"/>
      <c r="I31" s="2" t="s">
        <v>415</v>
      </c>
      <c r="J31" s="2" t="s">
        <v>416</v>
      </c>
      <c r="K31" s="2" t="s">
        <v>417</v>
      </c>
      <c r="L31" s="2" t="s">
        <v>418</v>
      </c>
      <c r="M31" s="2" t="s">
        <v>419</v>
      </c>
      <c r="N31" s="2" t="s">
        <v>167</v>
      </c>
      <c r="O31" s="2"/>
      <c r="P31" s="2"/>
      <c r="Q31" s="2"/>
      <c r="R31" s="2"/>
      <c r="S31" s="2"/>
      <c r="T31" s="2"/>
      <c r="U31" s="2"/>
      <c r="V31" s="2"/>
      <c r="W31" s="2"/>
      <c r="X31" s="2" t="s">
        <v>420</v>
      </c>
      <c r="Y31" s="2" t="s">
        <v>58</v>
      </c>
      <c r="Z31" s="2" t="s">
        <v>407</v>
      </c>
      <c r="AA31" s="2" t="s">
        <v>114</v>
      </c>
      <c r="AB31" s="2" t="s">
        <v>271</v>
      </c>
      <c r="AC31" s="2" t="s">
        <v>208</v>
      </c>
      <c r="AD31" s="2" t="s">
        <v>421</v>
      </c>
      <c r="AE31" s="2" t="s">
        <v>422</v>
      </c>
      <c r="AF31" s="2" t="s">
        <v>423</v>
      </c>
      <c r="AG31" s="2" t="s">
        <v>424</v>
      </c>
      <c r="AH31" s="2">
        <v>0.5</v>
      </c>
      <c r="AK31">
        <f t="shared" si="5"/>
        <v>1</v>
      </c>
      <c r="AL31">
        <f t="shared" si="0"/>
        <v>0</v>
      </c>
      <c r="AM31">
        <f t="shared" si="1"/>
        <v>0</v>
      </c>
      <c r="AN31">
        <f t="shared" si="2"/>
        <v>1</v>
      </c>
      <c r="FQ31" t="s">
        <v>1293</v>
      </c>
      <c r="FR31" s="35" cm="1">
        <f t="array" ref="FR31">SUMPRODUCT((Y$2:Y$1000="PS")*ISNUMBER(SEARCH(LOWER(FQ31),LOWER(AA$2:AA$1000)))*ISNUMBER(SEARCH("selection",LOWER(Z$2:Z$1000))))</f>
        <v>0</v>
      </c>
      <c r="GZ31">
        <v>2024</v>
      </c>
      <c r="HA31" cm="1">
        <f t="array" ref="HA31">SUMPRODUCT((Y$2:Y$1000="PS")*(F$2:F$1000=GZ31)*ISNUMBER(SEARCH("selection",LOWER(Z$2:Z$1000)))*ISNUMBER(SEARCH(LOWER("metaheuristic"),LOWER(AB$2:AB$1000))))</f>
        <v>0</v>
      </c>
      <c r="HB31" cm="1">
        <f t="array" ref="HB31">SUMPRODUCT((Y$2:Y$1000="PS")*(F$2:F$1000=GZ31)*ISNUMBER(SEARCH("selection",LOWER(Z$2:Z$1000)))*ISNUMBER(SEARCH(LOWER("search"),LOWER(AB$2:AB$1000))))</f>
        <v>0</v>
      </c>
      <c r="HC31" cm="1">
        <f t="array" ref="HC31">SUMPRODUCT((Y$2:Y$1000="PS")*(F$2:F$1000=GZ31)*ISNUMBER(SEARCH("selection",LOWER(Z$2:Z$1000)))*ISNUMBER(SEARCH(LOWER("heuristic"),LOWER(AB$2:AB$1000))))</f>
        <v>1</v>
      </c>
      <c r="HD31" cm="1">
        <f t="array" ref="HD31">SUMPRODUCT((Y$2:Y$1000="PS")*(F$2:F$1000=GZ31)*ISNUMBER(SEARCH("selection",LOWER(Z$2:Z$1000)))*ISNUMBER(SEARCH(LOWER("ml"),LOWER(AB$2:AB$1000))))</f>
        <v>0</v>
      </c>
      <c r="HE31" cm="1">
        <f t="array" ref="HE31">SUMPRODUCT((Y$2:Y$1000="PS")*(F$2:F$1000=GZ31)*ISNUMBER(SEARCH("selection",LOWER(Z$2:Z$1000)))*ISNUMBER(SEARCH(LOWER("rule"),LOWER(AB$2:AB$1000))))</f>
        <v>0</v>
      </c>
      <c r="HF31" cm="1">
        <f t="array" ref="HF31">SUMPRODUCT((Y$2:Y$1000="PS")*(F$2:F$1000=GZ31)*ISNUMBER(SEARCH("selection",LOWER(Z$2:Z$1000)))*ISNUMBER(SEARCH(LOWER("similarity"),LOWER(AB$2:AB$1000))))</f>
        <v>0</v>
      </c>
      <c r="HG31" cm="1">
        <f t="array" ref="HG31">SUMPRODUCT((Y$2:Y$1000="PS")*(F$2:F$1000=GZ31)*ISNUMBER(SEARCH("selection",LOWER(Z$2:Z$1000)))*ISNUMBER(SEARCH(LOWER("model"),LOWER(AB$2:AB$1000))))</f>
        <v>0</v>
      </c>
      <c r="HH31" cm="1">
        <f t="array" ref="HH31">SUMPRODUCT((Y$2:Y$1000="PS")*(F$2:F$1000=GZ31)*ISNUMBER(SEARCH("selection",LOWER(Z$2:Z$1000)))*ISNUMBER(SEARCH(LOWER("dependency"),LOWER(AB$2:AB$1000))))</f>
        <v>0</v>
      </c>
      <c r="HI31" cm="1">
        <f t="array" ref="HI31">SUMPRODUCT((Y$2:Y$1000="PS")*(F$2:F$1000=GZ31)*ISNUMBER(SEARCH("selection",LOWER(Z$2:Z$1000)))*ISNUMBER(SEARCH(LOWER("quantum"),LOWER(AB$2:AB$1000))))</f>
        <v>0</v>
      </c>
      <c r="HJ31" cm="1">
        <f t="array" ref="HJ31">SUMPRODUCT((Y$2:Y$1000="PS")*(F$2:F$1000=GZ31)*ISNUMBER(SEARCH("selection",LOWER(Z$2:Z$1000)))*ISNUMBER(SEARCH(LOWER("genetic"),LOWER(AB$2:AB$1000))))</f>
        <v>0</v>
      </c>
      <c r="HK31" cm="1">
        <f t="array" ref="HK31">SUMPRODUCT((Y$2:Y$1000="PS")*(F$2:F$1000=GZ31)*ISNUMBER(SEARCH("selection",LOWER(Z$2:Z$1000)))*ISNUMBER(SEARCH(LOWER("graph"),LOWER(AB$2:AB$1000))))</f>
        <v>0</v>
      </c>
      <c r="HL31" cm="1">
        <f t="array" ref="HL31">SUMPRODUCT((Y$2:Y$1000="PS")*(F$2:F$1000=GZ31)*ISNUMBER(SEARCH("selection",LOWER(Z$2:Z$1000)))*ISNUMBER(SEARCH(LOWER("greedy"),LOWER(AB$2:AB$1000))))</f>
        <v>0</v>
      </c>
      <c r="HM31" cm="1">
        <f t="array" ref="HM31">SUMPRODUCT((Y$2:Y$1000="PS")*(F$2:F$1000=GZ31)*ISNUMBER(SEARCH("selection",LOWER(Z$2:Z$1000)))*ISNUMBER(SEARCH(LOWER("dynamic"),LOWER(AB$2:AB$1000))))</f>
        <v>0</v>
      </c>
    </row>
    <row r="32" spans="1:221" ht="409.6">
      <c r="A32" s="2">
        <v>10336260</v>
      </c>
      <c r="B32" s="2" t="s">
        <v>34</v>
      </c>
      <c r="C32" s="2" t="s">
        <v>425</v>
      </c>
      <c r="D32" s="2" t="s">
        <v>426</v>
      </c>
      <c r="E32" s="2" t="s">
        <v>427</v>
      </c>
      <c r="F32" s="2">
        <v>2023</v>
      </c>
      <c r="G32" s="2"/>
      <c r="H32" s="2"/>
      <c r="I32" s="2" t="s">
        <v>428</v>
      </c>
      <c r="J32" s="2" t="s">
        <v>429</v>
      </c>
      <c r="K32" s="2" t="s">
        <v>430</v>
      </c>
      <c r="L32" s="2" t="s">
        <v>431</v>
      </c>
      <c r="M32" s="2" t="s">
        <v>352</v>
      </c>
      <c r="N32" s="2" t="s">
        <v>393</v>
      </c>
      <c r="O32" s="2"/>
      <c r="P32" s="2"/>
      <c r="Q32" s="2"/>
      <c r="R32" s="2"/>
      <c r="S32" s="2"/>
      <c r="T32" s="2"/>
      <c r="U32" s="2"/>
      <c r="V32" s="2"/>
      <c r="W32" s="2"/>
      <c r="X32" s="2" t="s">
        <v>432</v>
      </c>
      <c r="Y32" s="2" t="s">
        <v>58</v>
      </c>
      <c r="Z32" s="2" t="s">
        <v>304</v>
      </c>
      <c r="AA32" s="2" t="s">
        <v>114</v>
      </c>
      <c r="AB32" s="2" t="s">
        <v>271</v>
      </c>
      <c r="AC32" s="2" t="s">
        <v>433</v>
      </c>
      <c r="AD32" s="2" t="s">
        <v>434</v>
      </c>
      <c r="AE32" s="2" t="s">
        <v>435</v>
      </c>
      <c r="AF32" s="2" t="s">
        <v>436</v>
      </c>
      <c r="AG32" s="2" t="s">
        <v>437</v>
      </c>
      <c r="AH32" s="2">
        <v>1</v>
      </c>
      <c r="AK32">
        <f t="shared" si="5"/>
        <v>1</v>
      </c>
      <c r="AL32">
        <f t="shared" si="0"/>
        <v>0</v>
      </c>
      <c r="AM32">
        <f t="shared" si="1"/>
        <v>0</v>
      </c>
      <c r="AN32">
        <f t="shared" si="2"/>
        <v>1</v>
      </c>
      <c r="FQ32" t="s">
        <v>1294</v>
      </c>
      <c r="FR32" s="35" cm="1">
        <f t="array" ref="FR32">SUMPRODUCT((Y$2:Y$1000="PS")*ISNUMBER(SEARCH(LOWER(FQ32),LOWER(AA$2:AA$1000)))*ISNUMBER(SEARCH("selection",LOWER(Z$2:Z$1000))))</f>
        <v>0</v>
      </c>
      <c r="GZ32">
        <v>2025</v>
      </c>
      <c r="HA32" cm="1">
        <f t="array" ref="HA32">SUMPRODUCT((Y$2:Y$1000="PS")*(F$2:F$1000=GZ32)*ISNUMBER(SEARCH("selection",LOWER(Z$2:Z$1000)))*ISNUMBER(SEARCH(LOWER("metaheuristic"),LOWER(AB$2:AB$1000))))</f>
        <v>0</v>
      </c>
      <c r="HB32" cm="1">
        <f t="array" ref="HB32">SUMPRODUCT((Y$2:Y$1000="PS")*(F$2:F$1000=GZ32)*ISNUMBER(SEARCH("selection",LOWER(Z$2:Z$1000)))*ISNUMBER(SEARCH(LOWER("search"),LOWER(AB$2:AB$1000))))</f>
        <v>0</v>
      </c>
      <c r="HC32" cm="1">
        <f t="array" ref="HC32">SUMPRODUCT((Y$2:Y$1000="PS")*(F$2:F$1000=GZ32)*ISNUMBER(SEARCH("selection",LOWER(Z$2:Z$1000)))*ISNUMBER(SEARCH(LOWER("heuristic"),LOWER(AB$2:AB$1000))))</f>
        <v>0</v>
      </c>
      <c r="HD32" cm="1">
        <f t="array" ref="HD32">SUMPRODUCT((Y$2:Y$1000="PS")*(F$2:F$1000=GZ32)*ISNUMBER(SEARCH("selection",LOWER(Z$2:Z$1000)))*ISNUMBER(SEARCH(LOWER("ml"),LOWER(AB$2:AB$1000))))</f>
        <v>0</v>
      </c>
      <c r="HE32" cm="1">
        <f t="array" ref="HE32">SUMPRODUCT((Y$2:Y$1000="PS")*(F$2:F$1000=GZ32)*ISNUMBER(SEARCH("selection",LOWER(Z$2:Z$1000)))*ISNUMBER(SEARCH(LOWER("rule"),LOWER(AB$2:AB$1000))))</f>
        <v>0</v>
      </c>
      <c r="HF32" cm="1">
        <f t="array" ref="HF32">SUMPRODUCT((Y$2:Y$1000="PS")*(F$2:F$1000=GZ32)*ISNUMBER(SEARCH("selection",LOWER(Z$2:Z$1000)))*ISNUMBER(SEARCH(LOWER("similarity"),LOWER(AB$2:AB$1000))))</f>
        <v>0</v>
      </c>
      <c r="HG32" cm="1">
        <f t="array" ref="HG32">SUMPRODUCT((Y$2:Y$1000="PS")*(F$2:F$1000=GZ32)*ISNUMBER(SEARCH("selection",LOWER(Z$2:Z$1000)))*ISNUMBER(SEARCH(LOWER("model"),LOWER(AB$2:AB$1000))))</f>
        <v>0</v>
      </c>
      <c r="HH32" cm="1">
        <f t="array" ref="HH32">SUMPRODUCT((Y$2:Y$1000="PS")*(F$2:F$1000=GZ32)*ISNUMBER(SEARCH("selection",LOWER(Z$2:Z$1000)))*ISNUMBER(SEARCH(LOWER("dependency"),LOWER(AB$2:AB$1000))))</f>
        <v>0</v>
      </c>
      <c r="HI32" cm="1">
        <f t="array" ref="HI32">SUMPRODUCT((Y$2:Y$1000="PS")*(F$2:F$1000=GZ32)*ISNUMBER(SEARCH("selection",LOWER(Z$2:Z$1000)))*ISNUMBER(SEARCH(LOWER("quantum"),LOWER(AB$2:AB$1000))))</f>
        <v>0</v>
      </c>
      <c r="HJ32" cm="1">
        <f t="array" ref="HJ32">SUMPRODUCT((Y$2:Y$1000="PS")*(F$2:F$1000=GZ32)*ISNUMBER(SEARCH("selection",LOWER(Z$2:Z$1000)))*ISNUMBER(SEARCH(LOWER("genetic"),LOWER(AB$2:AB$1000))))</f>
        <v>0</v>
      </c>
      <c r="HK32" cm="1">
        <f t="array" ref="HK32">SUMPRODUCT((Y$2:Y$1000="PS")*(F$2:F$1000=GZ32)*ISNUMBER(SEARCH("selection",LOWER(Z$2:Z$1000)))*ISNUMBER(SEARCH(LOWER("graph"),LOWER(AB$2:AB$1000))))</f>
        <v>1</v>
      </c>
      <c r="HL32" cm="1">
        <f t="array" ref="HL32">SUMPRODUCT((Y$2:Y$1000="PS")*(F$2:F$1000=GZ32)*ISNUMBER(SEARCH("selection",LOWER(Z$2:Z$1000)))*ISNUMBER(SEARCH(LOWER("greedy"),LOWER(AB$2:AB$1000))))</f>
        <v>0</v>
      </c>
      <c r="HM32" cm="1">
        <f t="array" ref="HM32">SUMPRODUCT((Y$2:Y$1000="PS")*(F$2:F$1000=GZ32)*ISNUMBER(SEARCH("selection",LOWER(Z$2:Z$1000)))*ISNUMBER(SEARCH(LOWER("dynamic"),LOWER(AB$2:AB$1000))))</f>
        <v>0</v>
      </c>
    </row>
    <row r="33" spans="1:221" ht="409.6">
      <c r="A33" s="2">
        <v>10304799</v>
      </c>
      <c r="B33" s="2" t="s">
        <v>34</v>
      </c>
      <c r="C33" s="2" t="s">
        <v>438</v>
      </c>
      <c r="D33" s="2" t="s">
        <v>439</v>
      </c>
      <c r="E33" s="2" t="s">
        <v>440</v>
      </c>
      <c r="F33" s="2">
        <v>2023</v>
      </c>
      <c r="G33" s="2"/>
      <c r="H33" s="2"/>
      <c r="I33" s="2" t="s">
        <v>441</v>
      </c>
      <c r="J33" s="2" t="s">
        <v>442</v>
      </c>
      <c r="K33" s="2" t="s">
        <v>443</v>
      </c>
      <c r="L33" s="2" t="s">
        <v>444</v>
      </c>
      <c r="M33" s="2"/>
      <c r="N33" s="2" t="s">
        <v>393</v>
      </c>
      <c r="O33" s="2"/>
      <c r="P33" s="2"/>
      <c r="Q33" s="2"/>
      <c r="R33" s="2"/>
      <c r="S33" s="2"/>
      <c r="T33" s="2"/>
      <c r="U33" s="2"/>
      <c r="V33" s="2"/>
      <c r="W33" s="2"/>
      <c r="X33" s="2" t="s">
        <v>445</v>
      </c>
      <c r="Y33" s="2" t="s">
        <v>58</v>
      </c>
      <c r="Z33" s="2" t="s">
        <v>1018</v>
      </c>
      <c r="AA33" s="2"/>
      <c r="AB33" s="2"/>
      <c r="AC33" s="2"/>
      <c r="AD33" s="2"/>
      <c r="AE33" s="2"/>
      <c r="AF33" s="2"/>
      <c r="AG33" s="2"/>
      <c r="AH33" s="2">
        <v>0</v>
      </c>
      <c r="AK33">
        <f t="shared" si="5"/>
        <v>1</v>
      </c>
      <c r="AL33">
        <f t="shared" si="0"/>
        <v>0</v>
      </c>
      <c r="AM33">
        <f t="shared" si="1"/>
        <v>1</v>
      </c>
      <c r="AN33">
        <f t="shared" si="2"/>
        <v>0</v>
      </c>
      <c r="EQ33">
        <f>SUM(EN33:EP33)</f>
        <v>0</v>
      </c>
      <c r="FQ33" t="s">
        <v>1295</v>
      </c>
      <c r="FR33" s="35" cm="1">
        <f t="array" ref="FR33">SUMPRODUCT((Y$2:Y$1000="PS")*ISNUMBER(SEARCH(LOWER(FQ33),LOWER(AA$2:AA$1000)))*ISNUMBER(SEARCH("selection",LOWER(Z$2:Z$1000))))</f>
        <v>0</v>
      </c>
    </row>
    <row r="34" spans="1:221" ht="409.6">
      <c r="A34" s="2">
        <v>10011478</v>
      </c>
      <c r="B34" s="2" t="s">
        <v>34</v>
      </c>
      <c r="C34" s="2" t="s">
        <v>446</v>
      </c>
      <c r="D34" s="2" t="s">
        <v>447</v>
      </c>
      <c r="E34" s="2" t="s">
        <v>448</v>
      </c>
      <c r="F34" s="2">
        <v>2022</v>
      </c>
      <c r="G34" s="2"/>
      <c r="H34" s="2"/>
      <c r="I34" s="2" t="s">
        <v>449</v>
      </c>
      <c r="J34" s="2" t="s">
        <v>450</v>
      </c>
      <c r="K34" s="2" t="s">
        <v>451</v>
      </c>
      <c r="L34" s="2" t="s">
        <v>452</v>
      </c>
      <c r="M34" s="2"/>
      <c r="N34" s="2" t="s">
        <v>231</v>
      </c>
      <c r="O34" s="2"/>
      <c r="P34" s="2"/>
      <c r="Q34" s="2"/>
      <c r="R34" s="2"/>
      <c r="S34" s="2"/>
      <c r="T34" s="2"/>
      <c r="U34" s="2"/>
      <c r="V34" s="2"/>
      <c r="W34" s="2"/>
      <c r="X34" s="2" t="s">
        <v>453</v>
      </c>
      <c r="Y34" s="2" t="s">
        <v>58</v>
      </c>
      <c r="Z34" s="2" t="s">
        <v>220</v>
      </c>
      <c r="AA34" s="2" t="s">
        <v>408</v>
      </c>
      <c r="AB34" s="2" t="s">
        <v>1383</v>
      </c>
      <c r="AC34" s="2" t="s">
        <v>115</v>
      </c>
      <c r="AD34" s="2" t="s">
        <v>455</v>
      </c>
      <c r="AE34" s="2" t="s">
        <v>456</v>
      </c>
      <c r="AF34" s="2" t="s">
        <v>457</v>
      </c>
      <c r="AG34" s="2" t="s">
        <v>424</v>
      </c>
      <c r="AH34" s="2">
        <v>0.5</v>
      </c>
      <c r="AK34">
        <f t="shared" si="5"/>
        <v>1</v>
      </c>
      <c r="AL34">
        <f t="shared" si="0"/>
        <v>0</v>
      </c>
      <c r="AM34">
        <f t="shared" si="1"/>
        <v>0</v>
      </c>
      <c r="AN34">
        <f t="shared" si="2"/>
        <v>1</v>
      </c>
      <c r="FQ34" t="s">
        <v>1296</v>
      </c>
      <c r="FR34" s="35" cm="1">
        <f t="array" ref="FR34">SUMPRODUCT((Y$2:Y$1000="PS")*ISNUMBER(SEARCH(LOWER(FQ34),LOWER(AA$2:AA$1000)))*ISNUMBER(SEARCH("selection",LOWER(Z$2:Z$1000))))</f>
        <v>4</v>
      </c>
    </row>
    <row r="35" spans="1:221" ht="115.2">
      <c r="C35" t="s">
        <v>458</v>
      </c>
      <c r="D35" t="s">
        <v>459</v>
      </c>
      <c r="E35" t="s">
        <v>460</v>
      </c>
      <c r="F35">
        <v>2022</v>
      </c>
      <c r="J35" t="s">
        <v>461</v>
      </c>
      <c r="Y35" t="s">
        <v>58</v>
      </c>
      <c r="Z35" s="6" t="s">
        <v>462</v>
      </c>
      <c r="AA35" s="7" t="s">
        <v>142</v>
      </c>
      <c r="AB35" s="7" t="s">
        <v>463</v>
      </c>
      <c r="AC35" s="6"/>
      <c r="AD35" s="7" t="s">
        <v>464</v>
      </c>
      <c r="AE35" s="6" t="s">
        <v>465</v>
      </c>
      <c r="AF35" s="7" t="s">
        <v>466</v>
      </c>
      <c r="AG35" s="7" t="s">
        <v>467</v>
      </c>
      <c r="AH35" s="6">
        <v>1</v>
      </c>
      <c r="AK35">
        <f t="shared" si="5"/>
        <v>1</v>
      </c>
      <c r="AL35">
        <f t="shared" si="0"/>
        <v>0</v>
      </c>
      <c r="AM35">
        <f t="shared" si="1"/>
        <v>0</v>
      </c>
      <c r="AN35">
        <f t="shared" si="2"/>
        <v>1</v>
      </c>
      <c r="FQ35" t="s">
        <v>1297</v>
      </c>
      <c r="FR35" s="35" cm="1">
        <f t="array" ref="FR35">SUMPRODUCT((Y$2:Y$1000="PS")*ISNUMBER(SEARCH(LOWER(FQ35),LOWER(AA$2:AA$1000)))*ISNUMBER(SEARCH("selection",LOWER(Z$2:Z$1000))))</f>
        <v>0</v>
      </c>
      <c r="FV35" t="s">
        <v>1308</v>
      </c>
    </row>
    <row r="36" spans="1:221" ht="409.6">
      <c r="C36" t="s">
        <v>468</v>
      </c>
      <c r="D36" t="s">
        <v>469</v>
      </c>
      <c r="E36" t="s">
        <v>470</v>
      </c>
      <c r="F36">
        <v>2018</v>
      </c>
      <c r="J36" t="s">
        <v>471</v>
      </c>
      <c r="Y36" t="s">
        <v>58</v>
      </c>
      <c r="Z36" s="6" t="s">
        <v>472</v>
      </c>
      <c r="AA36" s="7" t="s">
        <v>1367</v>
      </c>
      <c r="AB36" s="7" t="s">
        <v>1371</v>
      </c>
      <c r="AC36" s="8"/>
      <c r="AD36" s="6" t="s">
        <v>473</v>
      </c>
      <c r="AE36" s="6" t="s">
        <v>474</v>
      </c>
      <c r="AF36" s="7" t="s">
        <v>475</v>
      </c>
      <c r="AG36" s="7" t="s">
        <v>476</v>
      </c>
      <c r="AH36" s="7">
        <v>0.5</v>
      </c>
      <c r="AK36">
        <f t="shared" si="5"/>
        <v>1</v>
      </c>
      <c r="AL36">
        <f t="shared" si="0"/>
        <v>0</v>
      </c>
      <c r="AM36">
        <f t="shared" si="1"/>
        <v>1</v>
      </c>
      <c r="AN36">
        <f t="shared" si="2"/>
        <v>0</v>
      </c>
      <c r="FQ36" t="s">
        <v>1298</v>
      </c>
      <c r="FR36" s="35" cm="1">
        <f t="array" ref="FR36">SUMPRODUCT((Y$2:Y$1000="PS")*ISNUMBER(SEARCH(LOWER(FQ36),LOWER(AA$2:AA$1000)))*ISNUMBER(SEARCH("selection",LOWER(Z$2:Z$1000))))</f>
        <v>0</v>
      </c>
      <c r="FV36" t="s">
        <v>1306</v>
      </c>
      <c r="FW36" t="s">
        <v>1326</v>
      </c>
      <c r="FX36" t="s">
        <v>1327</v>
      </c>
      <c r="FY36" t="s">
        <v>1328</v>
      </c>
      <c r="FZ36" t="s">
        <v>1329</v>
      </c>
      <c r="GA36" t="s">
        <v>868</v>
      </c>
      <c r="GB36" t="s">
        <v>1330</v>
      </c>
      <c r="GC36" t="s">
        <v>1331</v>
      </c>
      <c r="GD36" t="s">
        <v>1332</v>
      </c>
      <c r="GE36" t="s">
        <v>1333</v>
      </c>
      <c r="GF36" t="s">
        <v>1334</v>
      </c>
      <c r="GG36" t="s">
        <v>1335</v>
      </c>
      <c r="GH36" t="s">
        <v>1325</v>
      </c>
      <c r="GI36" t="s">
        <v>1336</v>
      </c>
      <c r="GJ36" t="s">
        <v>1337</v>
      </c>
      <c r="GK36" t="s">
        <v>1338</v>
      </c>
      <c r="GL36" t="s">
        <v>408</v>
      </c>
      <c r="GM36" t="s">
        <v>454</v>
      </c>
      <c r="GN36" t="s">
        <v>60</v>
      </c>
      <c r="GO36" t="s">
        <v>1339</v>
      </c>
      <c r="GP36" t="s">
        <v>1321</v>
      </c>
      <c r="GQ36" t="s">
        <v>1322</v>
      </c>
      <c r="GR36" t="s">
        <v>966</v>
      </c>
      <c r="GZ36" t="s">
        <v>1306</v>
      </c>
      <c r="HA36" t="s">
        <v>1310</v>
      </c>
      <c r="HB36" t="s">
        <v>1283</v>
      </c>
      <c r="HC36" t="s">
        <v>1282</v>
      </c>
      <c r="HD36" t="s">
        <v>1281</v>
      </c>
      <c r="HE36" t="s">
        <v>1311</v>
      </c>
      <c r="HF36" t="s">
        <v>1277</v>
      </c>
      <c r="HG36" t="s">
        <v>1275</v>
      </c>
      <c r="HH36" t="s">
        <v>1312</v>
      </c>
      <c r="HI36" t="s">
        <v>1313</v>
      </c>
      <c r="HJ36" t="s">
        <v>1314</v>
      </c>
      <c r="HK36" t="s">
        <v>1292</v>
      </c>
      <c r="HL36" t="s">
        <v>1315</v>
      </c>
      <c r="HM36" t="s">
        <v>1291</v>
      </c>
    </row>
    <row r="37" spans="1:221" ht="100.8">
      <c r="C37" t="s">
        <v>477</v>
      </c>
      <c r="D37" t="s">
        <v>478</v>
      </c>
      <c r="E37" t="s">
        <v>479</v>
      </c>
      <c r="F37">
        <v>2016</v>
      </c>
      <c r="J37" t="s">
        <v>480</v>
      </c>
      <c r="Y37" t="s">
        <v>58</v>
      </c>
      <c r="Z37" s="6" t="s">
        <v>481</v>
      </c>
      <c r="AA37" s="7" t="s">
        <v>408</v>
      </c>
      <c r="AB37" s="7" t="s">
        <v>787</v>
      </c>
      <c r="AC37" s="7" t="s">
        <v>115</v>
      </c>
      <c r="AD37" s="7" t="s">
        <v>482</v>
      </c>
      <c r="AE37" s="6" t="s">
        <v>483</v>
      </c>
      <c r="AF37" s="7" t="s">
        <v>484</v>
      </c>
      <c r="AG37" s="7" t="s">
        <v>485</v>
      </c>
      <c r="AH37" s="7">
        <v>1</v>
      </c>
      <c r="AK37">
        <f t="shared" si="5"/>
        <v>1</v>
      </c>
      <c r="AL37">
        <f t="shared" si="0"/>
        <v>0</v>
      </c>
      <c r="AM37">
        <f t="shared" si="1"/>
        <v>0</v>
      </c>
      <c r="AN37">
        <f t="shared" si="2"/>
        <v>1</v>
      </c>
      <c r="FQ37" t="s">
        <v>1286</v>
      </c>
      <c r="FR37" s="35" cm="1">
        <f t="array" ref="FR37">SUMPRODUCT((Y$2:Y$1000="PS")*ISNUMBER(SEARCH(LOWER(FQ37),LOWER(AA$2:AA$1000)))*ISNUMBER(SEARCH("selection",LOWER(Z$2:Z$1000))))</f>
        <v>2</v>
      </c>
      <c r="FV37">
        <v>2013</v>
      </c>
      <c r="FW37" s="35" cm="1">
        <f t="array" ref="FW37">SUMPRODUCT((Y$2:Y$1000="PS")*(F$2:F$1000=FV37)*ISNUMBER(SEARCH("selection",LOWER(Z$2:Z$1000)))*ISNUMBER(SEARCH("integer",LOWER(AA$2:AA$1000))))</f>
        <v>0</v>
      </c>
      <c r="FX37" cm="1">
        <f t="array" ref="FX37">SUMPRODUCT((Y$2:Y$1000="PS")*(F$2:F$1000=FV37)*ISNUMBER(SEARCH("selection",LOWER(Z$2:Z$1000)))*ISNUMBER(SEARCH("data-flow",LOWER(AA$2:AA$1000))))</f>
        <v>0</v>
      </c>
      <c r="FY37" cm="1">
        <f t="array" ref="FY37">SUMPRODUCT((Y$2:Y$1000="PS")*(F$2:F$1000=FV37)*ISNUMBER(SEARCH("selection",LOWER(Z$2:Z$1000)))*ISNUMBER(SEARCH("symbolic",LOWER(AA$2:AA$1000))))</f>
        <v>0</v>
      </c>
      <c r="FZ37" cm="1">
        <f t="array" ref="FZ37">SUMPRODUCT((Y$2:Y$1000="PS")*(F$2:F$1000=FV37)*ISNUMBER(SEARCH("selection",LOWER(Z$2:Z$1000)))*ISNUMBER(SEARCH("dynamyc",LOWER(AA$2:AA$1000))))</f>
        <v>0</v>
      </c>
      <c r="GA37" cm="1">
        <f t="array" ref="GA37">SUMPRODUCT((Y$2:Y$1000="PS")*(F$2:F$1000=FV37)*ISNUMBER(SEARCH("selection",LOWER(Z$2:Z$1000)))*ISNUMBER(SEARCH("graph",LOWER(AA$2:AA$1000))))</f>
        <v>0</v>
      </c>
      <c r="GB37" cm="1">
        <f t="array" ref="GB37">SUMPRODUCT((Y$2:Y$1000="PS")*(F$2:F$1000=FV37)*ISNUMBER(SEARCH("selection",LOWER(Z$2:Z$1000)))*ISNUMBER(SEARCH("textual",LOWER(AA$2:AA$1000))))</f>
        <v>0</v>
      </c>
      <c r="GC37" cm="1">
        <f t="array" ref="GC37">SUMPRODUCT((Y$2:Y$1000="PS")*(F$2:F$1000=FV37)*ISNUMBER(SEARCH("selection",LOWER(Z$2:Z$1000)))*ISNUMBER(SEARCH("sdg",LOWER(AA$2:AA$1000))))</f>
        <v>0</v>
      </c>
      <c r="GD37" cm="1">
        <f t="array" ref="GD37">SUMPRODUCT((Y$2:Y$1000="PS")*(F$2:F$1000=FV37)*ISNUMBER(SEARCH("selection",LOWER(Z$2:Z$1000)))*ISNUMBER(SEARCH("path",LOWER(AA$2:AA$1000))))</f>
        <v>0</v>
      </c>
      <c r="GE37" cm="1">
        <f t="array" ref="GE37">SUMPRODUCT((Y$2:Y$1000="PS")*(F$2:F$1000=FV37)*ISNUMBER(SEARCH("selection",LOWER(Z$2:Z$1000)))*ISNUMBER(SEARCH("mod",LOWER(AA$2:AA$1000))))</f>
        <v>1</v>
      </c>
      <c r="GF37" cm="1">
        <f t="array" ref="GF37">SUMPRODUCT((Y$2:Y$1000="PS")*(F$2:F$1000=FV37)*ISNUMBER(SEARCH("selection",LOWER(Z$2:Z$1000)))*ISNUMBER(SEARCH("firewall",LOWER(AA$2:AA$1000))))</f>
        <v>0</v>
      </c>
      <c r="GG37" cm="1">
        <f t="array" ref="GG37">SUMPRODUCT((Y$2:Y$1000="PS")*(F$2:F$1000=FV37)*ISNUMBER(SEARCH("selection",LOWER(Z$2:Z$1000)))*ISNUMBER(SEARCH("cluster",LOWER(AA$2:AA$1000))))</f>
        <v>0</v>
      </c>
      <c r="GH37" cm="1">
        <f t="array" ref="GH37">SUMPRODUCT((Y$2:Y$1000="PS")*(F$2:F$1000=FV37)*ISNUMBER(SEARCH("selection",LOWER(Z$2:Z$1000)))*ISNUMBER(SEARCH("design",LOWER(AA$2:AA$1000))))</f>
        <v>0</v>
      </c>
      <c r="GI37" cm="1">
        <f t="array" ref="GI37">SUMPRODUCT((Y$2:Y$1000="PS")*(F$2:F$1000=FV37)*ISNUMBER(SEARCH("selection",LOWER(Z$2:Z$1000)))*ISNUMBER(SEARCH("hybrid",LOWER(AA$2:AA$1000))))</f>
        <v>0</v>
      </c>
      <c r="GJ37" cm="1">
        <f t="array" ref="GJ37">SUMPRODUCT((Y$2:Y$1000="PS")*(F$2:F$1000=FV37)*ISNUMBER(SEARCH("selection",LOWER(Z$2:Z$1000)))*ISNUMBER(SEARCH("selection",LOWER(AA$2:AA$1000))))</f>
        <v>0</v>
      </c>
      <c r="GK37" cm="1">
        <f t="array" ref="GK37">SUMPRODUCT((Y$2:Y$1000="PS")*(F$2:F$1000=FV37)*ISNUMBER(SEARCH("selection",LOWER(Z$2:Z$1000)))*ISNUMBER(SEARCH("detection",LOWER(AA$2:AA$1000))))</f>
        <v>0</v>
      </c>
      <c r="GL37" cm="1">
        <f t="array" ref="GL37">SUMPRODUCT((Y$2:Y$1000="PS")*(F$2:F$1000=FV37)*ISNUMBER(SEARCH("selection",LOWER(Z$2:Z$1000)))*ISNUMBER(SEARCH("coverage",LOWER(AA$2:AA$1000))))</f>
        <v>0</v>
      </c>
      <c r="GM37" cm="1">
        <f t="array" ref="GM37">SUMPRODUCT((Y$2:Y$1000="PS")*(F$2:F$1000=FV37)*ISNUMBER(SEARCH("selection",LOWER(Z$2:Z$1000)))*ISNUMBER(SEARCH("change",LOWER(AA$2:AA$1000))))</f>
        <v>0</v>
      </c>
      <c r="GN37" cm="1">
        <f t="array" ref="GN37">SUMPRODUCT((Y$2:Y$1000="PS")*(F$2:F$1000=FV37)*ISNUMBER(SEARCH("selection",LOWER(Z$2:Z$1000)))*ISNUMBER(SEARCH("model",LOWER(AA$2:AA$1000))))</f>
        <v>0</v>
      </c>
      <c r="GO37" cm="1">
        <f t="array" ref="GO37">SUMPRODUCT((Y$2:Y$1000="PS")*(F$2:F$1000=$FV3)*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v>
      </c>
      <c r="GP37" cm="1">
        <f t="array" ref="GP37">SUMPRODUCT((Y$2:Y$1000="PS")*(F$2:F$1000=FV37)*ISNUMBER(SEARCH("selection",LOWER(Z$2:Z$1000)))*ISNUMBER(SEARCH("cost-aware",LOWER(AA$2:AA$1000))))</f>
        <v>0</v>
      </c>
      <c r="GQ37" cm="1">
        <f t="array" ref="GQ37">SUMPRODUCT((Y$2:Y$1000="PS")*(F$2:F$1000=FV37)*ISNUMBER(SEARCH("selection",LOWER(Z$2:Z$1000)))*ISNUMBER(SEARCH("similarity",LOWER(AA$2:AA$1000))))</f>
        <v>0</v>
      </c>
      <c r="GR37" s="35" cm="1">
        <f t="array" ref="GR37">SUMPRODUCT((Y$2:Y$1000="PS")*(F$2:F$1000=FV37)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37">
        <v>2013</v>
      </c>
      <c r="HA37" cm="1">
        <f t="array" ref="HA37">SUMPRODUCT((Y$2:Y$1000="PS")*(F$2:F$1000=GZ37)*ISNUMBER(SEARCH("minimization",LOWER(Z$2:Z$1000)))*ISNUMBER(SEARCH(LOWER(HA$36),LOWER(AB$2:AB$1000))))</f>
        <v>0</v>
      </c>
      <c r="HB37" cm="1">
        <f t="array" ref="HB37">SUMPRODUCT((Y$2:Y$1000="PS")*(F$2:F$1000=GZ37)*ISNUMBER(SEARCH("minimization",LOWER(Z$2:Z$1000)))*ISNUMBER(SEARCH(LOWER(HB$36),LOWER(AB$2:AB$1000))))</f>
        <v>0</v>
      </c>
      <c r="HC37" cm="1">
        <f t="array" ref="HC37">SUMPRODUCT((Y$2:Y$1000="PS")*(F$2:F$1000=GZ37)*ISNUMBER(SEARCH("minimization",LOWER(Z$2:Z$1000)))*ISNUMBER(SEARCH(LOWER(HC$36),LOWER(AB$2:AB$1000))))</f>
        <v>1</v>
      </c>
      <c r="HD37" cm="1">
        <f t="array" ref="HD37">SUMPRODUCT((Y$2:Y$1000="PS")*(F$2:F$1000=GZ37)*ISNUMBER(SEARCH("minimization",LOWER(Z$2:Z$1000)))*ISNUMBER(SEARCH(LOWER(HD$36),LOWER(AB$2:AB$1000))))</f>
        <v>0</v>
      </c>
      <c r="HE37" cm="1">
        <f t="array" ref="HE37">SUMPRODUCT((Y$2:Y$1000="PS")*(F$2:F$1000=GZ37)*ISNUMBER(SEARCH("minimization",LOWER(Z$2:Z$1000)))*ISNUMBER(SEARCH(LOWER(HE$36),LOWER(AB$2:AB$1000))))</f>
        <v>0</v>
      </c>
      <c r="HF37" cm="1">
        <f t="array" ref="HF37">SUMPRODUCT((Y$2:Y$1000="PS")*(F$2:F$1000=GZ37)*ISNUMBER(SEARCH("minimization",LOWER(Z$2:Z$1000)))*ISNUMBER(SEARCH(LOWER(HF$36),LOWER(AB$2:AB$1000))))</f>
        <v>0</v>
      </c>
      <c r="HG37" cm="1">
        <f t="array" ref="HG37">SUMPRODUCT((Y$2:Y$1000="PS")*(F$2:F$1000=GZ37)*ISNUMBER(SEARCH("minimization",LOWER(Z$2:Z$1000)))*ISNUMBER(SEARCH(LOWER(HG$36),LOWER(AB$2:AB$1000))))</f>
        <v>0</v>
      </c>
      <c r="HH37" cm="1">
        <f t="array" ref="HH37">SUMPRODUCT((Y$2:Y$1000="PS")*(F$2:F$1000=GZ37)*ISNUMBER(SEARCH("minimization",LOWER(Z$2:Z$1000)))*ISNUMBER(SEARCH(LOWER(HH$36),LOWER(AB$2:AB$1000))))</f>
        <v>0</v>
      </c>
      <c r="HI37" cm="1">
        <f t="array" ref="HI37">SUMPRODUCT((Y$2:Y$1000="PS")*(F$2:F$1000=GZ37)*ISNUMBER(SEARCH("minimization",LOWER(Z$2:Z$1000)))*ISNUMBER(SEARCH(LOWER(HI$36),LOWER(AB$2:AB$1000))))</f>
        <v>0</v>
      </c>
      <c r="HJ37" cm="1">
        <f t="array" ref="HJ37">SUMPRODUCT((Y$2:Y$1000="PS")*(F$2:F$1000=GZ37)*ISNUMBER(SEARCH("minimization",LOWER(Z$2:Z$1000)))*ISNUMBER(SEARCH(LOWER(HJ$36),LOWER(AB$2:AB$1000))))</f>
        <v>0</v>
      </c>
      <c r="HK37" cm="1">
        <f t="array" ref="HK37">SUMPRODUCT((Y$2:Y$1000="PS")*(F$2:F$1000=GZ37)*ISNUMBER(SEARCH("minimization",LOWER(Z$2:Z$1000)))*ISNUMBER(SEARCH(LOWER(HK$36),LOWER(AB$2:AB$1000))))</f>
        <v>0</v>
      </c>
      <c r="HL37" cm="1">
        <f t="array" ref="HL37">SUMPRODUCT((Y$2:Y$1000="PS")*(F$2:F$1000=GZ37)*ISNUMBER(SEARCH("minimization",LOWER(Z$2:Z$1000)))*ISNUMBER(SEARCH(LOWER(HL$36),LOWER(AB$2:AB$1000))))</f>
        <v>0</v>
      </c>
      <c r="HM37" cm="1">
        <f t="array" ref="HM37">SUMPRODUCT((Y$2:Y$1000="PS")*(F$2:F$1000=GZ37)*ISNUMBER(SEARCH("minimization",LOWER(Z$2:Z$1000)))*ISNUMBER(SEARCH(LOWER(HM$36),LOWER(AB$2:AB$1000))))</f>
        <v>0</v>
      </c>
    </row>
    <row r="38" spans="1:221" ht="115.2">
      <c r="C38" t="s">
        <v>486</v>
      </c>
      <c r="D38" t="s">
        <v>487</v>
      </c>
      <c r="E38" t="s">
        <v>488</v>
      </c>
      <c r="F38">
        <v>2019</v>
      </c>
      <c r="J38" t="s">
        <v>489</v>
      </c>
      <c r="Y38" t="s">
        <v>58</v>
      </c>
      <c r="Z38" s="9" t="s">
        <v>490</v>
      </c>
      <c r="AA38" s="10" t="s">
        <v>1301</v>
      </c>
      <c r="AB38" s="10" t="s">
        <v>91</v>
      </c>
      <c r="AC38" s="9"/>
      <c r="AD38" s="10" t="s">
        <v>491</v>
      </c>
      <c r="AE38" s="9" t="s">
        <v>492</v>
      </c>
      <c r="AF38" s="10" t="s">
        <v>493</v>
      </c>
      <c r="AG38" s="10" t="s">
        <v>494</v>
      </c>
      <c r="AH38" s="10">
        <v>0</v>
      </c>
      <c r="AK38">
        <f t="shared" si="5"/>
        <v>1</v>
      </c>
      <c r="AL38">
        <f t="shared" si="0"/>
        <v>0</v>
      </c>
      <c r="AM38">
        <f t="shared" si="1"/>
        <v>1</v>
      </c>
      <c r="AN38">
        <f t="shared" si="2"/>
        <v>0</v>
      </c>
      <c r="FQ38" t="s">
        <v>1299</v>
      </c>
      <c r="FR38" s="35" cm="1">
        <f t="array" ref="FR38">SUMPRODUCT((Y$2:Y$1000="PS")*ISNUMBER(SEARCH(LOWER(FQ38),LOWER(AA$2:AA$1000)))*ISNUMBER(SEARCH("selection",LOWER(Z$2:Z$1000))))</f>
        <v>0</v>
      </c>
      <c r="FV38">
        <v>2014</v>
      </c>
      <c r="FW38" s="35" cm="1">
        <f t="array" ref="FW38">SUMPRODUCT((Y$2:Y$1000="PS")*(F$2:F$1000=FV38)*ISNUMBER(SEARCH("selection",LOWER(Z$2:Z$1000)))*ISNUMBER(SEARCH("integer",LOWER(AA$2:AA$1000))))</f>
        <v>0</v>
      </c>
      <c r="FX38" cm="1">
        <f t="array" ref="FX38">SUMPRODUCT((Y$2:Y$1000="PS")*(F$2:F$1000=FV38)*ISNUMBER(SEARCH("selection",LOWER(Z$2:Z$1000)))*ISNUMBER(SEARCH("data-flow",LOWER(AA$2:AA$1000))))</f>
        <v>0</v>
      </c>
      <c r="FY38" cm="1">
        <f t="array" ref="FY38">SUMPRODUCT((Y$2:Y$1000="PS")*(F$2:F$1000=FV38)*ISNUMBER(SEARCH("selection",LOWER(Z$2:Z$1000)))*ISNUMBER(SEARCH("symbolic",LOWER(AA$2:AA$1000))))</f>
        <v>0</v>
      </c>
      <c r="FZ38" cm="1">
        <f t="array" ref="FZ38">SUMPRODUCT((Y$2:Y$1000="PS")*(F$2:F$1000=FV38)*ISNUMBER(SEARCH("selection",LOWER(Z$2:Z$1000)))*ISNUMBER(SEARCH("dynamyc",LOWER(AA$2:AA$1000))))</f>
        <v>0</v>
      </c>
      <c r="GA38" cm="1">
        <f t="array" ref="GA38">SUMPRODUCT((Y$2:Y$1000="PS")*(F$2:F$1000=FV38)*ISNUMBER(SEARCH("selection",LOWER(Z$2:Z$1000)))*ISNUMBER(SEARCH("graph",LOWER(AA$2:AA$1000))))</f>
        <v>0</v>
      </c>
      <c r="GB38" cm="1">
        <f t="array" ref="GB38">SUMPRODUCT((Y$2:Y$1000="PS")*(F$2:F$1000=FV38)*ISNUMBER(SEARCH("selection",LOWER(Z$2:Z$1000)))*ISNUMBER(SEARCH("textual",LOWER(AA$2:AA$1000))))</f>
        <v>0</v>
      </c>
      <c r="GC38" cm="1">
        <f t="array" ref="GC38">SUMPRODUCT((Y$2:Y$1000="PS")*(F$2:F$1000=FV38)*ISNUMBER(SEARCH("selection",LOWER(Z$2:Z$1000)))*ISNUMBER(SEARCH("sdg",LOWER(AA$2:AA$1000))))</f>
        <v>0</v>
      </c>
      <c r="GD38" cm="1">
        <f t="array" ref="GD38">SUMPRODUCT((Y$2:Y$1000="PS")*(F$2:F$1000=FV38)*ISNUMBER(SEARCH("selection",LOWER(Z$2:Z$1000)))*ISNUMBER(SEARCH("path",LOWER(AA$2:AA$1000))))</f>
        <v>0</v>
      </c>
      <c r="GE38" cm="1">
        <f t="array" ref="GE38">SUMPRODUCT((Y$2:Y$1000="PS")*(F$2:F$1000=FV38)*ISNUMBER(SEARCH("selection",LOWER(Z$2:Z$1000)))*ISNUMBER(SEARCH("mod",LOWER(AA$2:AA$1000))))</f>
        <v>1</v>
      </c>
      <c r="GF38" cm="1">
        <f t="array" ref="GF38">SUMPRODUCT((Y$2:Y$1000="PS")*(F$2:F$1000=FV38)*ISNUMBER(SEARCH("selection",LOWER(Z$2:Z$1000)))*ISNUMBER(SEARCH("firewall",LOWER(AA$2:AA$1000))))</f>
        <v>0</v>
      </c>
      <c r="GG38" cm="1">
        <f t="array" ref="GG38">SUMPRODUCT((Y$2:Y$1000="PS")*(F$2:F$1000=FV38)*ISNUMBER(SEARCH("selection",LOWER(Z$2:Z$1000)))*ISNUMBER(SEARCH("cluster",LOWER(AA$2:AA$1000))))</f>
        <v>0</v>
      </c>
      <c r="GH38" cm="1">
        <f t="array" ref="GH38">SUMPRODUCT((Y$2:Y$1000="PS")*(F$2:F$1000=FV38)*ISNUMBER(SEARCH("selection",LOWER(Z$2:Z$1000)))*ISNUMBER(SEARCH("design",LOWER(AA$2:AA$1000))))</f>
        <v>0</v>
      </c>
      <c r="GI38" cm="1">
        <f t="array" ref="GI38">SUMPRODUCT((Y$2:Y$1000="PS")*(F$2:F$1000=FV38)*ISNUMBER(SEARCH("selection",LOWER(Z$2:Z$1000)))*ISNUMBER(SEARCH("hybrid",LOWER(AA$2:AA$1000))))</f>
        <v>0</v>
      </c>
      <c r="GJ38" cm="1">
        <f t="array" ref="GJ38">SUMPRODUCT((Y$2:Y$1000="PS")*(F$2:F$1000=FV38)*ISNUMBER(SEARCH("selection",LOWER(Z$2:Z$1000)))*ISNUMBER(SEARCH("selection",LOWER(AA$2:AA$1000))))</f>
        <v>0</v>
      </c>
      <c r="GK38" cm="1">
        <f t="array" ref="GK38">SUMPRODUCT((Y$2:Y$1000="PS")*(F$2:F$1000=FV38)*ISNUMBER(SEARCH("selection",LOWER(Z$2:Z$1000)))*ISNUMBER(SEARCH("detection",LOWER(AA$2:AA$1000))))</f>
        <v>0</v>
      </c>
      <c r="GL38" cm="1">
        <f t="array" ref="GL38">SUMPRODUCT((Y$2:Y$1000="PS")*(F$2:F$1000=FV38)*ISNUMBER(SEARCH("selection",LOWER(Z$2:Z$1000)))*ISNUMBER(SEARCH("coverage",LOWER(AA$2:AA$1000))))</f>
        <v>0</v>
      </c>
      <c r="GM38" cm="1">
        <f t="array" ref="GM38">SUMPRODUCT((Y$2:Y$1000="PS")*(F$2:F$1000=FV38)*ISNUMBER(SEARCH("selection",LOWER(Z$2:Z$1000)))*ISNUMBER(SEARCH("change",LOWER(AA$2:AA$1000))))</f>
        <v>0</v>
      </c>
      <c r="GN38" cm="1">
        <f t="array" ref="GN38">SUMPRODUCT((Y$2:Y$1000="PS")*(F$2:F$1000=FV38)*ISNUMBER(SEARCH("selection",LOWER(Z$2:Z$1000)))*ISNUMBER(SEARCH("model",LOWER(AA$2:AA$1000))))</f>
        <v>0</v>
      </c>
      <c r="GO38" cm="1">
        <f t="array" ref="GO38">SUMPRODUCT((Y$2:Y$1000="PS")*(F$2:F$1000=FV38)*ISNUMBER(SEARCH("selection",LOWER(Z$2:Z$1000)))*ISNUMBER(SEARCH("hystory",LOWER(AA$2:AA$1000))))</f>
        <v>0</v>
      </c>
      <c r="GP38" cm="1">
        <f t="array" ref="GP38">SUMPRODUCT((Y$2:Y$1000="PS")*(F$2:F$1000=FV38)*ISNUMBER(SEARCH("selection",LOWER(Z$2:Z$1000)))*ISNUMBER(SEARCH("cost-aware",LOWER(AA$2:AA$1000))))</f>
        <v>0</v>
      </c>
      <c r="GQ38" cm="1">
        <f t="array" ref="GQ38">SUMPRODUCT((Y$2:Y$1000="PS")*(F$2:F$1000=FV38)*ISNUMBER(SEARCH("selection",LOWER(Z$2:Z$1000)))*ISNUMBER(SEARCH("similarity",LOWER(AA$2:AA$1000))))</f>
        <v>0</v>
      </c>
      <c r="GR38" s="35" cm="1">
        <f t="array" ref="GR38">SUMPRODUCT((Y$2:Y$1000="PS")*(F$2:F$1000=FV38)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8">
        <v>2014</v>
      </c>
      <c r="HA38" cm="1">
        <f t="array" ref="HA38">SUMPRODUCT((Y$2:Y$1000="PS")*(F$2:F$1000=GZ38)*ISNUMBER(SEARCH("minimization",LOWER(Z$2:Z$1000)))*ISNUMBER(SEARCH(LOWER(HA$36),LOWER(AB$2:AB$1000))))</f>
        <v>0</v>
      </c>
      <c r="HB38" cm="1">
        <f t="array" ref="HB38">SUMPRODUCT((Y$2:Y$1000="PS")*(F$2:F$1000=GZ38)*ISNUMBER(SEARCH("minimization",LOWER(Z$2:Z$1000)))*ISNUMBER(SEARCH(LOWER(HB$36),LOWER(AB$2:AB$1000))))</f>
        <v>0</v>
      </c>
      <c r="HC38" cm="1">
        <f t="array" ref="HC38">SUMPRODUCT((Y$2:Y$1000="PS")*(F$2:F$1000=GZ38)*ISNUMBER(SEARCH("minimization",LOWER(Z$2:Z$1000)))*ISNUMBER(SEARCH(LOWER(HC$36),LOWER(AB$2:AB$1000))))</f>
        <v>0</v>
      </c>
      <c r="HD38" cm="1">
        <f t="array" ref="HD38">SUMPRODUCT((Y$2:Y$1000="PS")*(F$2:F$1000=GZ38)*ISNUMBER(SEARCH("minimization",LOWER(Z$2:Z$1000)))*ISNUMBER(SEARCH(LOWER(HD$36),LOWER(AB$2:AB$1000))))</f>
        <v>0</v>
      </c>
      <c r="HE38" cm="1">
        <f t="array" ref="HE38">SUMPRODUCT((Y$2:Y$1000="PS")*(F$2:F$1000=GZ38)*ISNUMBER(SEARCH("minimization",LOWER(Z$2:Z$1000)))*ISNUMBER(SEARCH(LOWER(HE$36),LOWER(AB$2:AB$1000))))</f>
        <v>0</v>
      </c>
      <c r="HF38" cm="1">
        <f t="array" ref="HF38">SUMPRODUCT((Y$2:Y$1000="PS")*(F$2:F$1000=GZ38)*ISNUMBER(SEARCH("minimization",LOWER(Z$2:Z$1000)))*ISNUMBER(SEARCH(LOWER(HF$36),LOWER(AB$2:AB$1000))))</f>
        <v>0</v>
      </c>
      <c r="HG38" cm="1">
        <f t="array" ref="HG38">SUMPRODUCT((Y$2:Y$1000="PS")*(F$2:F$1000=GZ38)*ISNUMBER(SEARCH("minimization",LOWER(Z$2:Z$1000)))*ISNUMBER(SEARCH(LOWER(HG$36),LOWER(AB$2:AB$1000))))</f>
        <v>0</v>
      </c>
      <c r="HH38" cm="1">
        <f t="array" ref="HH38">SUMPRODUCT((Y$2:Y$1000="PS")*(F$2:F$1000=GZ38)*ISNUMBER(SEARCH("minimization",LOWER(Z$2:Z$1000)))*ISNUMBER(SEARCH(LOWER(HH$36),LOWER(AB$2:AB$1000))))</f>
        <v>0</v>
      </c>
      <c r="HI38" cm="1">
        <f t="array" ref="HI38">SUMPRODUCT((Y$2:Y$1000="PS")*(F$2:F$1000=GZ38)*ISNUMBER(SEARCH("minimization",LOWER(Z$2:Z$1000)))*ISNUMBER(SEARCH(LOWER(HI$36),LOWER(AB$2:AB$1000))))</f>
        <v>0</v>
      </c>
      <c r="HJ38" cm="1">
        <f t="array" ref="HJ38">SUMPRODUCT((Y$2:Y$1000="PS")*(F$2:F$1000=GZ38)*ISNUMBER(SEARCH("minimization",LOWER(Z$2:Z$1000)))*ISNUMBER(SEARCH(LOWER(HJ$36),LOWER(AB$2:AB$1000))))</f>
        <v>0</v>
      </c>
      <c r="HK38" cm="1">
        <f t="array" ref="HK38">SUMPRODUCT((Y$2:Y$1000="PS")*(F$2:F$1000=GZ38)*ISNUMBER(SEARCH("minimization",LOWER(Z$2:Z$1000)))*ISNUMBER(SEARCH(LOWER(HK$36),LOWER(AB$2:AB$1000))))</f>
        <v>0</v>
      </c>
      <c r="HL38" cm="1">
        <f t="array" ref="HL38">SUMPRODUCT((Y$2:Y$1000="PS")*(F$2:F$1000=GZ38)*ISNUMBER(SEARCH("minimization",LOWER(Z$2:Z$1000)))*ISNUMBER(SEARCH(LOWER(HL$36),LOWER(AB$2:AB$1000))))</f>
        <v>0</v>
      </c>
      <c r="HM38" cm="1">
        <f t="array" ref="HM38">SUMPRODUCT((Y$2:Y$1000="PS")*(F$2:F$1000=GZ38)*ISNUMBER(SEARCH("minimization",LOWER(Z$2:Z$1000)))*ISNUMBER(SEARCH(LOWER(HM$36),LOWER(AB$2:AB$1000))))</f>
        <v>0</v>
      </c>
    </row>
    <row r="39" spans="1:221" ht="100.8">
      <c r="C39" t="s">
        <v>495</v>
      </c>
      <c r="D39" t="s">
        <v>496</v>
      </c>
      <c r="E39" t="s">
        <v>497</v>
      </c>
      <c r="F39">
        <v>2016</v>
      </c>
      <c r="J39" t="s">
        <v>498</v>
      </c>
      <c r="Y39" t="s">
        <v>44</v>
      </c>
      <c r="Z39" s="11" t="s">
        <v>499</v>
      </c>
      <c r="AA39" s="12" t="s">
        <v>1367</v>
      </c>
      <c r="AB39" s="12" t="s">
        <v>1371</v>
      </c>
      <c r="AC39" s="12"/>
      <c r="AD39" s="12" t="s">
        <v>500</v>
      </c>
      <c r="AE39" s="11" t="s">
        <v>501</v>
      </c>
      <c r="AF39" s="12" t="s">
        <v>502</v>
      </c>
      <c r="AG39" s="12" t="s">
        <v>503</v>
      </c>
      <c r="AH39" s="12">
        <v>0</v>
      </c>
      <c r="AK39">
        <f t="shared" si="5"/>
        <v>0</v>
      </c>
      <c r="AL39">
        <f t="shared" si="0"/>
        <v>0</v>
      </c>
      <c r="AM39">
        <f t="shared" si="1"/>
        <v>0</v>
      </c>
      <c r="AN39">
        <f t="shared" si="2"/>
        <v>0</v>
      </c>
      <c r="FQ39" t="s">
        <v>1287</v>
      </c>
      <c r="FR39" s="35" cm="1">
        <f t="array" ref="FR39">SUMPRODUCT((Y$2:Y$1000="PS")*ISNUMBER(SEARCH(LOWER(FQ39),LOWER(AA$2:AA$1000)))*ISNUMBER(SEARCH("selection",LOWER(Z$2:Z$1000))))</f>
        <v>0</v>
      </c>
      <c r="FV39">
        <v>2015</v>
      </c>
      <c r="FW39" s="35" cm="1">
        <f t="array" ref="FW39">SUMPRODUCT((Y$2:Y$1000="PS")*(F$2:F$1000=FV39)*ISNUMBER(SEARCH("selection",LOWER(Z$2:Z$1000)))*ISNUMBER(SEARCH("integer",LOWER(AA$2:AA$1000))))</f>
        <v>0</v>
      </c>
      <c r="FX39" cm="1">
        <f t="array" ref="FX39">SUMPRODUCT((Y$2:Y$1000="PS")*(F$2:F$1000=FV39)*ISNUMBER(SEARCH("selection",LOWER(Z$2:Z$1000)))*ISNUMBER(SEARCH("data-flow",LOWER(AA$2:AA$1000))))</f>
        <v>0</v>
      </c>
      <c r="FY39" cm="1">
        <f t="array" ref="FY39">SUMPRODUCT((Y$2:Y$1000="PS")*(F$2:F$1000=FV39)*ISNUMBER(SEARCH("selection",LOWER(Z$2:Z$1000)))*ISNUMBER(SEARCH("symbolic",LOWER(AA$2:AA$1000))))</f>
        <v>0</v>
      </c>
      <c r="FZ39" cm="1">
        <f t="array" ref="FZ39">SUMPRODUCT((Y$2:Y$1000="PS")*(F$2:F$1000=FV39)*ISNUMBER(SEARCH("selection",LOWER(Z$2:Z$1000)))*ISNUMBER(SEARCH("dynamyc",LOWER(AA$2:AA$1000))))</f>
        <v>0</v>
      </c>
      <c r="GA39" cm="1">
        <f t="array" ref="GA39">SUMPRODUCT((Y$2:Y$1000="PS")*(F$2:F$1000=FV39)*ISNUMBER(SEARCH("selection",LOWER(Z$2:Z$1000)))*ISNUMBER(SEARCH("graph",LOWER(AA$2:AA$1000))))</f>
        <v>0</v>
      </c>
      <c r="GB39" cm="1">
        <f t="array" ref="GB39">SUMPRODUCT((Y$2:Y$1000="PS")*(F$2:F$1000=FV39)*ISNUMBER(SEARCH("selection",LOWER(Z$2:Z$1000)))*ISNUMBER(SEARCH("textual",LOWER(AA$2:AA$1000))))</f>
        <v>0</v>
      </c>
      <c r="GC39" cm="1">
        <f t="array" ref="GC39">SUMPRODUCT((Y$2:Y$1000="PS")*(F$2:F$1000=FV39)*ISNUMBER(SEARCH("selection",LOWER(Z$2:Z$1000)))*ISNUMBER(SEARCH("sdg",LOWER(AA$2:AA$1000))))</f>
        <v>0</v>
      </c>
      <c r="GD39" cm="1">
        <f t="array" ref="GD39">SUMPRODUCT((Y$2:Y$1000="PS")*(F$2:F$1000=FV39)*ISNUMBER(SEARCH("selection",LOWER(Z$2:Z$1000)))*ISNUMBER(SEARCH("path",LOWER(AA$2:AA$1000))))</f>
        <v>0</v>
      </c>
      <c r="GE39" cm="1">
        <f t="array" ref="GE39">SUMPRODUCT((Y$2:Y$1000="PS")*(F$2:F$1000=FV39)*ISNUMBER(SEARCH("selection",LOWER(Z$2:Z$1000)))*ISNUMBER(SEARCH("mod",LOWER(AA$2:AA$1000))))</f>
        <v>0</v>
      </c>
      <c r="GF39" cm="1">
        <f t="array" ref="GF39">SUMPRODUCT((Y$2:Y$1000="PS")*(F$2:F$1000=FV39)*ISNUMBER(SEARCH("selection",LOWER(Z$2:Z$1000)))*ISNUMBER(SEARCH("firewall",LOWER(AA$2:AA$1000))))</f>
        <v>0</v>
      </c>
      <c r="GG39" cm="1">
        <f t="array" ref="GG39">SUMPRODUCT((Y$2:Y$1000="PS")*(F$2:F$1000=FV39)*ISNUMBER(SEARCH("selection",LOWER(Z$2:Z$1000)))*ISNUMBER(SEARCH("cluster",LOWER(AA$2:AA$1000))))</f>
        <v>0</v>
      </c>
      <c r="GH39" cm="1">
        <f t="array" ref="GH39">SUMPRODUCT((Y$2:Y$1000="PS")*(F$2:F$1000=FV39)*ISNUMBER(SEARCH("selection",LOWER(Z$2:Z$1000)))*ISNUMBER(SEARCH("design",LOWER(AA$2:AA$1000))))</f>
        <v>0</v>
      </c>
      <c r="GI39" cm="1">
        <f t="array" ref="GI39">SUMPRODUCT((Y$2:Y$1000="PS")*(F$2:F$1000=FV39)*ISNUMBER(SEARCH("selection",LOWER(Z$2:Z$1000)))*ISNUMBER(SEARCH("hybrid",LOWER(AA$2:AA$1000))))</f>
        <v>0</v>
      </c>
      <c r="GJ39" cm="1">
        <f t="array" ref="GJ39">SUMPRODUCT((Y$2:Y$1000="PS")*(F$2:F$1000=FV39)*ISNUMBER(SEARCH("selection",LOWER(Z$2:Z$1000)))*ISNUMBER(SEARCH("selection",LOWER(AA$2:AA$1000))))</f>
        <v>0</v>
      </c>
      <c r="GK39" cm="1">
        <f t="array" ref="GK39">SUMPRODUCT((Y$2:Y$1000="PS")*(F$2:F$1000=FV39)*ISNUMBER(SEARCH("selection",LOWER(Z$2:Z$1000)))*ISNUMBER(SEARCH("detection",LOWER(AA$2:AA$1000))))</f>
        <v>0</v>
      </c>
      <c r="GL39" cm="1">
        <f t="array" ref="GL39">SUMPRODUCT((Y$2:Y$1000="PS")*(F$2:F$1000=FV39)*ISNUMBER(SEARCH("selection",LOWER(Z$2:Z$1000)))*ISNUMBER(SEARCH("coverage",LOWER(AA$2:AA$1000))))</f>
        <v>0</v>
      </c>
      <c r="GM39" cm="1">
        <f t="array" ref="GM39">SUMPRODUCT((Y$2:Y$1000="PS")*(F$2:F$1000=FV39)*ISNUMBER(SEARCH("selection",LOWER(Z$2:Z$1000)))*ISNUMBER(SEARCH("change",LOWER(AA$2:AA$1000))))</f>
        <v>0</v>
      </c>
      <c r="GN39" cm="1">
        <f t="array" ref="GN39">SUMPRODUCT((Y$2:Y$1000="PS")*(F$2:F$1000=FV39)*ISNUMBER(SEARCH("selection",LOWER(Z$2:Z$1000)))*ISNUMBER(SEARCH("model",LOWER(AA$2:AA$1000))))</f>
        <v>0</v>
      </c>
      <c r="GO39" cm="1">
        <f t="array" ref="GO39">SUMPRODUCT((Y$2:Y$1000="PS")*(F$2:F$1000=FV39)*ISNUMBER(SEARCH("selection",LOWER(Z$2:Z$1000)))*ISNUMBER(SEARCH("hystory",LOWER(AA$2:AA$1000))))</f>
        <v>0</v>
      </c>
      <c r="GP39" cm="1">
        <f t="array" ref="GP39">SUMPRODUCT((Y$2:Y$1000="PS")*(F$2:F$1000=FV39)*ISNUMBER(SEARCH("selection",LOWER(Z$2:Z$1000)))*ISNUMBER(SEARCH("cost-aware",LOWER(AA$2:AA$1000))))</f>
        <v>0</v>
      </c>
      <c r="GQ39" cm="1">
        <f t="array" ref="GQ39">SUMPRODUCT((Y$2:Y$1000="PS")*(F$2:F$1000=FV39)*ISNUMBER(SEARCH("selection",LOWER(Z$2:Z$1000)))*ISNUMBER(SEARCH("similarity",LOWER(AA$2:AA$1000))))</f>
        <v>0</v>
      </c>
      <c r="GR39" s="35" cm="1">
        <f t="array" ref="GR39">SUMPRODUCT((Y$2:Y$1000="PS")*(F$2:F$1000=FV39)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9">
        <v>2015</v>
      </c>
      <c r="HA39" cm="1">
        <f t="array" ref="HA39">SUMPRODUCT((Y$2:Y$1000="PS")*(F$2:F$1000=GZ39)*ISNUMBER(SEARCH("minimization",LOWER(Z$2:Z$1000)))*ISNUMBER(SEARCH(LOWER(HA$36),LOWER(AB$2:AB$1000))))</f>
        <v>0</v>
      </c>
      <c r="HB39" cm="1">
        <f t="array" ref="HB39">SUMPRODUCT((Y$2:Y$1000="PS")*(F$2:F$1000=GZ39)*ISNUMBER(SEARCH("minimization",LOWER(Z$2:Z$1000)))*ISNUMBER(SEARCH(LOWER(HB$36),LOWER(AB$2:AB$1000))))</f>
        <v>0</v>
      </c>
      <c r="HC39" cm="1">
        <f t="array" ref="HC39">SUMPRODUCT((Y$2:Y$1000="PS")*(F$2:F$1000=GZ39)*ISNUMBER(SEARCH("minimization",LOWER(Z$2:Z$1000)))*ISNUMBER(SEARCH(LOWER(HC$36),LOWER(AB$2:AB$1000))))</f>
        <v>0</v>
      </c>
      <c r="HD39" cm="1">
        <f t="array" ref="HD39">SUMPRODUCT((Y$2:Y$1000="PS")*(F$2:F$1000=GZ39)*ISNUMBER(SEARCH("minimization",LOWER(Z$2:Z$1000)))*ISNUMBER(SEARCH(LOWER(HD$36),LOWER(AB$2:AB$1000))))</f>
        <v>0</v>
      </c>
      <c r="HE39" cm="1">
        <f t="array" ref="HE39">SUMPRODUCT((Y$2:Y$1000="PS")*(F$2:F$1000=GZ39)*ISNUMBER(SEARCH("minimization",LOWER(Z$2:Z$1000)))*ISNUMBER(SEARCH(LOWER(HE$36),LOWER(AB$2:AB$1000))))</f>
        <v>0</v>
      </c>
      <c r="HF39" cm="1">
        <f t="array" ref="HF39">SUMPRODUCT((Y$2:Y$1000="PS")*(F$2:F$1000=GZ39)*ISNUMBER(SEARCH("minimization",LOWER(Z$2:Z$1000)))*ISNUMBER(SEARCH(LOWER(HF$36),LOWER(AB$2:AB$1000))))</f>
        <v>0</v>
      </c>
      <c r="HG39" cm="1">
        <f t="array" ref="HG39">SUMPRODUCT((Y$2:Y$1000="PS")*(F$2:F$1000=GZ39)*ISNUMBER(SEARCH("minimization",LOWER(Z$2:Z$1000)))*ISNUMBER(SEARCH(LOWER(HG$36),LOWER(AB$2:AB$1000))))</f>
        <v>0</v>
      </c>
      <c r="HH39" cm="1">
        <f t="array" ref="HH39">SUMPRODUCT((Y$2:Y$1000="PS")*(F$2:F$1000=GZ39)*ISNUMBER(SEARCH("minimization",LOWER(Z$2:Z$1000)))*ISNUMBER(SEARCH(LOWER(HH$36),LOWER(AB$2:AB$1000))))</f>
        <v>0</v>
      </c>
      <c r="HI39" cm="1">
        <f t="array" ref="HI39">SUMPRODUCT((Y$2:Y$1000="PS")*(F$2:F$1000=GZ39)*ISNUMBER(SEARCH("minimization",LOWER(Z$2:Z$1000)))*ISNUMBER(SEARCH(LOWER(HI$36),LOWER(AB$2:AB$1000))))</f>
        <v>0</v>
      </c>
      <c r="HJ39" cm="1">
        <f t="array" ref="HJ39">SUMPRODUCT((Y$2:Y$1000="PS")*(F$2:F$1000=GZ39)*ISNUMBER(SEARCH("minimization",LOWER(Z$2:Z$1000)))*ISNUMBER(SEARCH(LOWER(HJ$36),LOWER(AB$2:AB$1000))))</f>
        <v>0</v>
      </c>
      <c r="HK39" cm="1">
        <f t="array" ref="HK39">SUMPRODUCT((Y$2:Y$1000="PS")*(F$2:F$1000=GZ39)*ISNUMBER(SEARCH("minimization",LOWER(Z$2:Z$1000)))*ISNUMBER(SEARCH(LOWER(HK$36),LOWER(AB$2:AB$1000))))</f>
        <v>0</v>
      </c>
      <c r="HL39" cm="1">
        <f t="array" ref="HL39">SUMPRODUCT((Y$2:Y$1000="PS")*(F$2:F$1000=GZ39)*ISNUMBER(SEARCH("minimization",LOWER(Z$2:Z$1000)))*ISNUMBER(SEARCH(LOWER(HL$36),LOWER(AB$2:AB$1000))))</f>
        <v>0</v>
      </c>
      <c r="HM39" cm="1">
        <f t="array" ref="HM39">SUMPRODUCT((Y$2:Y$1000="PS")*(F$2:F$1000=GZ39)*ISNUMBER(SEARCH("minimization",LOWER(Z$2:Z$1000)))*ISNUMBER(SEARCH(LOWER(HM$36),LOWER(AB$2:AB$1000))))</f>
        <v>0</v>
      </c>
    </row>
    <row r="40" spans="1:221" ht="144">
      <c r="C40" t="s">
        <v>504</v>
      </c>
      <c r="D40" t="s">
        <v>505</v>
      </c>
      <c r="E40" t="s">
        <v>506</v>
      </c>
      <c r="F40">
        <v>2018</v>
      </c>
      <c r="J40" t="s">
        <v>507</v>
      </c>
      <c r="Y40" t="s">
        <v>58</v>
      </c>
      <c r="Z40" s="13" t="s">
        <v>1390</v>
      </c>
      <c r="AA40" s="14" t="s">
        <v>129</v>
      </c>
      <c r="AB40" s="14" t="s">
        <v>91</v>
      </c>
      <c r="AC40" s="15"/>
      <c r="AD40" s="14" t="s">
        <v>508</v>
      </c>
      <c r="AE40" s="13" t="s">
        <v>509</v>
      </c>
      <c r="AF40" s="13" t="s">
        <v>510</v>
      </c>
      <c r="AG40" s="14" t="s">
        <v>511</v>
      </c>
      <c r="AH40" s="14">
        <v>1</v>
      </c>
      <c r="AK40">
        <f t="shared" si="5"/>
        <v>1</v>
      </c>
      <c r="AL40">
        <f t="shared" si="0"/>
        <v>0</v>
      </c>
      <c r="AM40">
        <f t="shared" si="1"/>
        <v>0</v>
      </c>
      <c r="AN40">
        <f t="shared" si="2"/>
        <v>0</v>
      </c>
      <c r="FQ40" t="s">
        <v>1300</v>
      </c>
      <c r="FR40" s="35" cm="1">
        <f t="array" ref="FR40">SUMPRODUCT((Y$2:Y$1000="PS")*ISNUMBER(SEARCH(LOWER(FQ40),LOWER(AA$2:AA$1000)))*ISNUMBER(SEARCH("selection",LOWER(Z$2:Z$1000))))</f>
        <v>0</v>
      </c>
      <c r="FV40">
        <v>2016</v>
      </c>
      <c r="FW40" s="35" cm="1">
        <f t="array" ref="FW40">SUMPRODUCT((Y$2:Y$1000="PS")*(F$2:F$1000=FV40)*ISNUMBER(SEARCH("selection",LOWER(Z$2:Z$1000)))*ISNUMBER(SEARCH("integer",LOWER(AA$2:AA$1000))))</f>
        <v>0</v>
      </c>
      <c r="FX40" cm="1">
        <f t="array" ref="FX40">SUMPRODUCT((Y$2:Y$1000="PS")*(F$2:F$1000=FV40)*ISNUMBER(SEARCH("selection",LOWER(Z$2:Z$1000)))*ISNUMBER(SEARCH("data-flow",LOWER(AA$2:AA$1000))))</f>
        <v>0</v>
      </c>
      <c r="FY40" cm="1">
        <f t="array" ref="FY40">SUMPRODUCT((Y$2:Y$1000="PS")*(F$2:F$1000=FV40)*ISNUMBER(SEARCH("selection",LOWER(Z$2:Z$1000)))*ISNUMBER(SEARCH("symbolic",LOWER(AA$2:AA$1000))))</f>
        <v>1</v>
      </c>
      <c r="FZ40" cm="1">
        <f t="array" ref="FZ40">SUMPRODUCT((Y$2:Y$1000="PS")*(F$2:F$1000=FV40)*ISNUMBER(SEARCH("selection",LOWER(Z$2:Z$1000)))*ISNUMBER(SEARCH("dynamyc",LOWER(AA$2:AA$1000))))</f>
        <v>0</v>
      </c>
      <c r="GA40" cm="1">
        <f t="array" ref="GA40">SUMPRODUCT((Y$2:Y$1000="PS")*(F$2:F$1000=FV40)*ISNUMBER(SEARCH("selection",LOWER(Z$2:Z$1000)))*ISNUMBER(SEARCH("graph",LOWER(AA$2:AA$1000))))</f>
        <v>0</v>
      </c>
      <c r="GB40" cm="1">
        <f t="array" ref="GB40">SUMPRODUCT((Y$2:Y$1000="PS")*(F$2:F$1000=FV40)*ISNUMBER(SEARCH("selection",LOWER(Z$2:Z$1000)))*ISNUMBER(SEARCH("textual",LOWER(AA$2:AA$1000))))</f>
        <v>0</v>
      </c>
      <c r="GC40" cm="1">
        <f t="array" ref="GC40">SUMPRODUCT((Y$2:Y$1000="PS")*(F$2:F$1000=FV40)*ISNUMBER(SEARCH("selection",LOWER(Z$2:Z$1000)))*ISNUMBER(SEARCH("sdg",LOWER(AA$2:AA$1000))))</f>
        <v>0</v>
      </c>
      <c r="GD40" cm="1">
        <f t="array" ref="GD40">SUMPRODUCT((Y$2:Y$1000="PS")*(F$2:F$1000=FV40)*ISNUMBER(SEARCH("selection",LOWER(Z$2:Z$1000)))*ISNUMBER(SEARCH("path",LOWER(AA$2:AA$1000))))</f>
        <v>0</v>
      </c>
      <c r="GE40" cm="1">
        <f t="array" ref="GE40">SUMPRODUCT((Y$2:Y$1000="PS")*(F$2:F$1000=FV40)*ISNUMBER(SEARCH("selection",LOWER(Z$2:Z$1000)))*ISNUMBER(SEARCH("mod",LOWER(AA$2:AA$1000))))</f>
        <v>0</v>
      </c>
      <c r="GF40" cm="1">
        <f t="array" ref="GF40">SUMPRODUCT((Y$2:Y$1000="PS")*(F$2:F$1000=FV40)*ISNUMBER(SEARCH("selection",LOWER(Z$2:Z$1000)))*ISNUMBER(SEARCH("firewall",LOWER(AA$2:AA$1000))))</f>
        <v>0</v>
      </c>
      <c r="GG40" cm="1">
        <f t="array" ref="GG40">SUMPRODUCT((Y$2:Y$1000="PS")*(F$2:F$1000=FV40)*ISNUMBER(SEARCH("selection",LOWER(Z$2:Z$1000)))*ISNUMBER(SEARCH("cluster",LOWER(AA$2:AA$1000))))</f>
        <v>0</v>
      </c>
      <c r="GH40" cm="1">
        <f t="array" ref="GH40">SUMPRODUCT((Y$2:Y$1000="PS")*(F$2:F$1000=FV40)*ISNUMBER(SEARCH("selection",LOWER(Z$2:Z$1000)))*ISNUMBER(SEARCH("design",LOWER(AA$2:AA$1000))))</f>
        <v>1</v>
      </c>
      <c r="GI40" cm="1">
        <f t="array" ref="GI40">SUMPRODUCT((Y$2:Y$1000="PS")*(F$2:F$1000=FV40)*ISNUMBER(SEARCH("selection",LOWER(Z$2:Z$1000)))*ISNUMBER(SEARCH("hybrid",LOWER(AA$2:AA$1000))))</f>
        <v>0</v>
      </c>
      <c r="GJ40" cm="1">
        <f t="array" ref="GJ40">SUMPRODUCT((Y$2:Y$1000="PS")*(F$2:F$1000=FV40)*ISNUMBER(SEARCH("selection",LOWER(Z$2:Z$1000)))*ISNUMBER(SEARCH("selection",LOWER(AA$2:AA$1000))))</f>
        <v>0</v>
      </c>
      <c r="GK40" cm="1">
        <f t="array" ref="GK40">SUMPRODUCT((Y$2:Y$1000="PS")*(F$2:F$1000=FV40)*ISNUMBER(SEARCH("selection",LOWER(Z$2:Z$1000)))*ISNUMBER(SEARCH("detection",LOWER(AA$2:AA$1000))))</f>
        <v>0</v>
      </c>
      <c r="GL40" cm="1">
        <f t="array" ref="GL40">SUMPRODUCT((Y$2:Y$1000="PS")*(F$2:F$1000=FV40)*ISNUMBER(SEARCH("selection",LOWER(Z$2:Z$1000)))*ISNUMBER(SEARCH("coverage",LOWER(AA$2:AA$1000))))</f>
        <v>0</v>
      </c>
      <c r="GM40" cm="1">
        <f t="array" ref="GM40">SUMPRODUCT((Y$2:Y$1000="PS")*(F$2:F$1000=FV40)*ISNUMBER(SEARCH("selection",LOWER(Z$2:Z$1000)))*ISNUMBER(SEARCH("change",LOWER(AA$2:AA$1000))))</f>
        <v>0</v>
      </c>
      <c r="GN40" cm="1">
        <f t="array" ref="GN40">SUMPRODUCT((Y$2:Y$1000="PS")*(F$2:F$1000=FV40)*ISNUMBER(SEARCH("selection",LOWER(Z$2:Z$1000)))*ISNUMBER(SEARCH("model",LOWER(AA$2:AA$1000))))</f>
        <v>0</v>
      </c>
      <c r="GO40" cm="1">
        <f t="array" ref="GO40">SUMPRODUCT((Y$2:Y$1000="PS")*(F$2:F$1000=FV40)*ISNUMBER(SEARCH("selection",LOWER(Z$2:Z$1000)))*ISNUMBER(SEARCH("hystory",LOWER(AA$2:AA$1000))))</f>
        <v>0</v>
      </c>
      <c r="GP40" cm="1">
        <f t="array" ref="GP40">SUMPRODUCT((Y$2:Y$1000="PS")*(F$2:F$1000=FV40)*ISNUMBER(SEARCH("selection",LOWER(Z$2:Z$1000)))*ISNUMBER(SEARCH("cost-aware",LOWER(AA$2:AA$1000))))</f>
        <v>0</v>
      </c>
      <c r="GQ40" cm="1">
        <f t="array" ref="GQ40">SUMPRODUCT((Y$2:Y$1000="PS")*(F$2:F$1000=FV40)*ISNUMBER(SEARCH("selection",LOWER(Z$2:Z$1000)))*ISNUMBER(SEARCH("similarity",LOWER(AA$2:AA$1000))))</f>
        <v>0</v>
      </c>
      <c r="GR40" s="35" cm="1">
        <f t="array" ref="GR40">SUMPRODUCT((Y$2:Y$1000="PS")*(F$2:F$1000=FV40)*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0">
        <v>2016</v>
      </c>
      <c r="HA40" cm="1">
        <f t="array" ref="HA40">SUMPRODUCT((Y$2:Y$1000="PS")*(F$2:F$1000=GZ40)*ISNUMBER(SEARCH("minimization",LOWER(Z$2:Z$1000)))*ISNUMBER(SEARCH(LOWER(HA$36),LOWER(AB$2:AB$1000))))</f>
        <v>0</v>
      </c>
      <c r="HB40" cm="1">
        <f t="array" ref="HB40">SUMPRODUCT((Y$2:Y$1000="PS")*(F$2:F$1000=GZ40)*ISNUMBER(SEARCH("minimization",LOWER(Z$2:Z$1000)))*ISNUMBER(SEARCH(LOWER(HB$36),LOWER(AB$2:AB$1000))))</f>
        <v>0</v>
      </c>
      <c r="HC40" cm="1">
        <f t="array" ref="HC40">SUMPRODUCT((Y$2:Y$1000="PS")*(F$2:F$1000=GZ40)*ISNUMBER(SEARCH("minimization",LOWER(Z$2:Z$1000)))*ISNUMBER(SEARCH(LOWER(HC$36),LOWER(AB$2:AB$1000))))</f>
        <v>0</v>
      </c>
      <c r="HD40" cm="1">
        <f t="array" ref="HD40">SUMPRODUCT((Y$2:Y$1000="PS")*(F$2:F$1000=GZ40)*ISNUMBER(SEARCH("minimization",LOWER(Z$2:Z$1000)))*ISNUMBER(SEARCH(LOWER(HD$36),LOWER(AB$2:AB$1000))))</f>
        <v>0</v>
      </c>
      <c r="HE40" cm="1">
        <f t="array" ref="HE40">SUMPRODUCT((Y$2:Y$1000="PS")*(F$2:F$1000=GZ40)*ISNUMBER(SEARCH("minimization",LOWER(Z$2:Z$1000)))*ISNUMBER(SEARCH(LOWER(HE$36),LOWER(AB$2:AB$1000))))</f>
        <v>0</v>
      </c>
      <c r="HF40" cm="1">
        <f t="array" ref="HF40">SUMPRODUCT((Y$2:Y$1000="PS")*(F$2:F$1000=GZ40)*ISNUMBER(SEARCH("minimization",LOWER(Z$2:Z$1000)))*ISNUMBER(SEARCH(LOWER(HF$36),LOWER(AB$2:AB$1000))))</f>
        <v>0</v>
      </c>
      <c r="HG40" cm="1">
        <f t="array" ref="HG40">SUMPRODUCT((Y$2:Y$1000="PS")*(F$2:F$1000=GZ40)*ISNUMBER(SEARCH("minimization",LOWER(Z$2:Z$1000)))*ISNUMBER(SEARCH(LOWER(HG$36),LOWER(AB$2:AB$1000))))</f>
        <v>0</v>
      </c>
      <c r="HH40" cm="1">
        <f t="array" ref="HH40">SUMPRODUCT((Y$2:Y$1000="PS")*(F$2:F$1000=GZ40)*ISNUMBER(SEARCH("minimization",LOWER(Z$2:Z$1000)))*ISNUMBER(SEARCH(LOWER(HH$36),LOWER(AB$2:AB$1000))))</f>
        <v>0</v>
      </c>
      <c r="HI40" cm="1">
        <f t="array" ref="HI40">SUMPRODUCT((Y$2:Y$1000="PS")*(F$2:F$1000=GZ40)*ISNUMBER(SEARCH("minimization",LOWER(Z$2:Z$1000)))*ISNUMBER(SEARCH(LOWER(HI$36),LOWER(AB$2:AB$1000))))</f>
        <v>0</v>
      </c>
      <c r="HJ40" cm="1">
        <f t="array" ref="HJ40">SUMPRODUCT((Y$2:Y$1000="PS")*(F$2:F$1000=GZ40)*ISNUMBER(SEARCH("minimization",LOWER(Z$2:Z$1000)))*ISNUMBER(SEARCH(LOWER(HJ$36),LOWER(AB$2:AB$1000))))</f>
        <v>0</v>
      </c>
      <c r="HK40" cm="1">
        <f t="array" ref="HK40">SUMPRODUCT((Y$2:Y$1000="PS")*(F$2:F$1000=GZ40)*ISNUMBER(SEARCH("minimization",LOWER(Z$2:Z$1000)))*ISNUMBER(SEARCH(LOWER(HK$36),LOWER(AB$2:AB$1000))))</f>
        <v>0</v>
      </c>
      <c r="HL40" cm="1">
        <f t="array" ref="HL40">SUMPRODUCT((Y$2:Y$1000="PS")*(F$2:F$1000=GZ40)*ISNUMBER(SEARCH("minimization",LOWER(Z$2:Z$1000)))*ISNUMBER(SEARCH(LOWER(HL$36),LOWER(AB$2:AB$1000))))</f>
        <v>0</v>
      </c>
      <c r="HM40" cm="1">
        <f t="array" ref="HM40">SUMPRODUCT((Y$2:Y$1000="PS")*(F$2:F$1000=GZ40)*ISNUMBER(SEARCH("minimization",LOWER(Z$2:Z$1000)))*ISNUMBER(SEARCH(LOWER(HM$36),LOWER(AB$2:AB$1000))))</f>
        <v>0</v>
      </c>
    </row>
    <row r="41" spans="1:221" ht="115.2">
      <c r="C41" t="s">
        <v>512</v>
      </c>
      <c r="D41" t="s">
        <v>513</v>
      </c>
      <c r="E41" t="s">
        <v>514</v>
      </c>
      <c r="F41">
        <v>2021</v>
      </c>
      <c r="J41" t="s">
        <v>515</v>
      </c>
      <c r="Y41" t="s">
        <v>58</v>
      </c>
      <c r="Z41" s="6" t="s">
        <v>516</v>
      </c>
      <c r="AA41" s="7" t="s">
        <v>408</v>
      </c>
      <c r="AB41" s="7" t="s">
        <v>91</v>
      </c>
      <c r="AC41" s="8"/>
      <c r="AD41" s="7" t="s">
        <v>517</v>
      </c>
      <c r="AE41" s="6" t="s">
        <v>518</v>
      </c>
      <c r="AF41" s="7" t="s">
        <v>519</v>
      </c>
      <c r="AG41" s="7" t="s">
        <v>520</v>
      </c>
      <c r="AH41" s="7">
        <v>1</v>
      </c>
      <c r="AK41">
        <f t="shared" si="5"/>
        <v>1</v>
      </c>
      <c r="AL41">
        <f t="shared" si="0"/>
        <v>0</v>
      </c>
      <c r="AM41">
        <f t="shared" si="1"/>
        <v>0</v>
      </c>
      <c r="AN41">
        <f t="shared" si="2"/>
        <v>1</v>
      </c>
      <c r="FQ41" t="s">
        <v>1269</v>
      </c>
      <c r="FR41" s="35" cm="1">
        <f t="array" ref="FR41">SUMPRODUCT((Y$2:Y$1000="PS")*ISNUMBER(SEARCH(LOWER(FQ41),LOWER(AA$2:AA$1000)))*ISNUMBER(SEARCH("selection",LOWER(Z$2:Z$1000))))</f>
        <v>0</v>
      </c>
      <c r="FV41">
        <v>2017</v>
      </c>
      <c r="FW41" s="35" cm="1">
        <f t="array" ref="FW41">SUMPRODUCT((Y$2:Y$1000="PS")*(F$2:F$1000=FV41)*ISNUMBER(SEARCH("selection",LOWER(Z$2:Z$1000)))*ISNUMBER(SEARCH("integer",LOWER(AA$2:AA$1000))))</f>
        <v>0</v>
      </c>
      <c r="FX41" cm="1">
        <f t="array" ref="FX41">SUMPRODUCT((Y$2:Y$1000="PS")*(F$2:F$1000=FV41)*ISNUMBER(SEARCH("selection",LOWER(Z$2:Z$1000)))*ISNUMBER(SEARCH("data-flow",LOWER(AA$2:AA$1000))))</f>
        <v>0</v>
      </c>
      <c r="FY41" cm="1">
        <f t="array" ref="FY41">SUMPRODUCT((Y$2:Y$1000="PS")*(F$2:F$1000=FV41)*ISNUMBER(SEARCH("selection",LOWER(Z$2:Z$1000)))*ISNUMBER(SEARCH("symbolic",LOWER(AA$2:AA$1000))))</f>
        <v>0</v>
      </c>
      <c r="FZ41" cm="1">
        <f t="array" ref="FZ41">SUMPRODUCT((Y$2:Y$1000="PS")*(F$2:F$1000=FV41)*ISNUMBER(SEARCH("selection",LOWER(Z$2:Z$1000)))*ISNUMBER(SEARCH("dynamyc",LOWER(AA$2:AA$1000))))</f>
        <v>0</v>
      </c>
      <c r="GA41" cm="1">
        <f t="array" ref="GA41">SUMPRODUCT((Y$2:Y$1000="PS")*(F$2:F$1000=FV41)*ISNUMBER(SEARCH("selection",LOWER(Z$2:Z$1000)))*ISNUMBER(SEARCH("graph",LOWER(AA$2:AA$1000))))</f>
        <v>0</v>
      </c>
      <c r="GB41" cm="1">
        <f t="array" ref="GB41">SUMPRODUCT((Y$2:Y$1000="PS")*(F$2:F$1000=FV41)*ISNUMBER(SEARCH("selection",LOWER(Z$2:Z$1000)))*ISNUMBER(SEARCH("textual",LOWER(AA$2:AA$1000))))</f>
        <v>0</v>
      </c>
      <c r="GC41" cm="1">
        <f t="array" ref="GC41">SUMPRODUCT((Y$2:Y$1000="PS")*(F$2:F$1000=FV41)*ISNUMBER(SEARCH("selection",LOWER(Z$2:Z$1000)))*ISNUMBER(SEARCH("sdg",LOWER(AA$2:AA$1000))))</f>
        <v>0</v>
      </c>
      <c r="GD41" cm="1">
        <f t="array" ref="GD41">SUMPRODUCT((Y$2:Y$1000="PS")*(F$2:F$1000=FV41)*ISNUMBER(SEARCH("selection",LOWER(Z$2:Z$1000)))*ISNUMBER(SEARCH("path",LOWER(AA$2:AA$1000))))</f>
        <v>0</v>
      </c>
      <c r="GE41" cm="1">
        <f t="array" ref="GE41">SUMPRODUCT((Y$2:Y$1000="PS")*(F$2:F$1000=FV41)*ISNUMBER(SEARCH("selection",LOWER(Z$2:Z$1000)))*ISNUMBER(SEARCH("mod",LOWER(AA$2:AA$1000))))</f>
        <v>0</v>
      </c>
      <c r="GF41" cm="1">
        <f t="array" ref="GF41">SUMPRODUCT((Y$2:Y$1000="PS")*(F$2:F$1000=FV41)*ISNUMBER(SEARCH("selection",LOWER(Z$2:Z$1000)))*ISNUMBER(SEARCH("firewall",LOWER(AA$2:AA$1000))))</f>
        <v>0</v>
      </c>
      <c r="GG41" cm="1">
        <f t="array" ref="GG41">SUMPRODUCT((Y$2:Y$1000="PS")*(F$2:F$1000=FV41)*ISNUMBER(SEARCH("selection",LOWER(Z$2:Z$1000)))*ISNUMBER(SEARCH("cluster",LOWER(AA$2:AA$1000))))</f>
        <v>0</v>
      </c>
      <c r="GH41" cm="1">
        <f t="array" ref="GH41">SUMPRODUCT((Y$2:Y$1000="PS")*(F$2:F$1000=FV41)*ISNUMBER(SEARCH("selection",LOWER(Z$2:Z$1000)))*ISNUMBER(SEARCH("design",LOWER(AA$2:AA$1000))))</f>
        <v>1</v>
      </c>
      <c r="GI41" cm="1">
        <f t="array" ref="GI41">SUMPRODUCT((Y$2:Y$1000="PS")*(F$2:F$1000=FV41)*ISNUMBER(SEARCH("selection",LOWER(Z$2:Z$1000)))*ISNUMBER(SEARCH("hybrid",LOWER(AA$2:AA$1000))))</f>
        <v>0</v>
      </c>
      <c r="GJ41" cm="1">
        <f t="array" ref="GJ41">SUMPRODUCT((Y$2:Y$1000="PS")*(F$2:F$1000=FV41)*ISNUMBER(SEARCH("selection",LOWER(Z$2:Z$1000)))*ISNUMBER(SEARCH("selection",LOWER(AA$2:AA$1000))))</f>
        <v>0</v>
      </c>
      <c r="GK41" cm="1">
        <f t="array" ref="GK41">SUMPRODUCT((Y$2:Y$1000="PS")*(F$2:F$1000=FV41)*ISNUMBER(SEARCH("selection",LOWER(Z$2:Z$1000)))*ISNUMBER(SEARCH("detection",LOWER(AA$2:AA$1000))))</f>
        <v>0</v>
      </c>
      <c r="GL41" cm="1">
        <f t="array" ref="GL41">SUMPRODUCT((Y$2:Y$1000="PS")*(F$2:F$1000=FV41)*ISNUMBER(SEARCH("selection",LOWER(Z$2:Z$1000)))*ISNUMBER(SEARCH("coverage",LOWER(AA$2:AA$1000))))</f>
        <v>0</v>
      </c>
      <c r="GM41" cm="1">
        <f t="array" ref="GM41">SUMPRODUCT((Y$2:Y$1000="PS")*(F$2:F$1000=FV41)*ISNUMBER(SEARCH("selection",LOWER(Z$2:Z$1000)))*ISNUMBER(SEARCH("change",LOWER(AA$2:AA$1000))))</f>
        <v>0</v>
      </c>
      <c r="GN41" cm="1">
        <f t="array" ref="GN41">SUMPRODUCT((Y$2:Y$1000="PS")*(F$2:F$1000=FV41)*ISNUMBER(SEARCH("selection",LOWER(Z$2:Z$1000)))*ISNUMBER(SEARCH("model",LOWER(AA$2:AA$1000))))</f>
        <v>0</v>
      </c>
      <c r="GO41" cm="1">
        <f t="array" ref="GO41">SUMPRODUCT((Y$2:Y$1000="PS")*(F$2:F$1000=FV41)*ISNUMBER(SEARCH("selection",LOWER(Z$2:Z$1000)))*ISNUMBER(SEARCH("hystory",LOWER(AA$2:AA$1000))))</f>
        <v>0</v>
      </c>
      <c r="GP41" cm="1">
        <f t="array" ref="GP41">SUMPRODUCT((Y$2:Y$1000="PS")*(F$2:F$1000=FV41)*ISNUMBER(SEARCH("selection",LOWER(Z$2:Z$1000)))*ISNUMBER(SEARCH("cost-aware",LOWER(AA$2:AA$1000))))</f>
        <v>1</v>
      </c>
      <c r="GQ41" cm="1">
        <f t="array" ref="GQ41">SUMPRODUCT((Y$2:Y$1000="PS")*(F$2:F$1000=FV41)*ISNUMBER(SEARCH("selection",LOWER(Z$2:Z$1000)))*ISNUMBER(SEARCH("similarity",LOWER(AA$2:AA$1000))))</f>
        <v>0</v>
      </c>
      <c r="GR41" s="35" cm="1">
        <f t="array" ref="GR41">SUMPRODUCT((Y$2:Y$1000="PS")*(F$2:F$1000=FV41)*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1">
        <v>2017</v>
      </c>
      <c r="HA41" cm="1">
        <f t="array" ref="HA41">SUMPRODUCT((Y$2:Y$1000="PS")*(F$2:F$1000=GZ41)*ISNUMBER(SEARCH("minimization",LOWER(Z$2:Z$1000)))*ISNUMBER(SEARCH(LOWER(HA$36),LOWER(AB$2:AB$1000))))</f>
        <v>0</v>
      </c>
      <c r="HB41" cm="1">
        <f t="array" ref="HB41">SUMPRODUCT((Y$2:Y$1000="PS")*(F$2:F$1000=GZ41)*ISNUMBER(SEARCH("minimization",LOWER(Z$2:Z$1000)))*ISNUMBER(SEARCH(LOWER(HB$36),LOWER(AB$2:AB$1000))))</f>
        <v>0</v>
      </c>
      <c r="HC41" cm="1">
        <f t="array" ref="HC41">SUMPRODUCT((Y$2:Y$1000="PS")*(F$2:F$1000=GZ41)*ISNUMBER(SEARCH("minimization",LOWER(Z$2:Z$1000)))*ISNUMBER(SEARCH(LOWER(HC$36),LOWER(AB$2:AB$1000))))</f>
        <v>0</v>
      </c>
      <c r="HD41" cm="1">
        <f t="array" ref="HD41">SUMPRODUCT((Y$2:Y$1000="PS")*(F$2:F$1000=GZ41)*ISNUMBER(SEARCH("minimization",LOWER(Z$2:Z$1000)))*ISNUMBER(SEARCH(LOWER(HD$36),LOWER(AB$2:AB$1000))))</f>
        <v>0</v>
      </c>
      <c r="HE41" cm="1">
        <f t="array" ref="HE41">SUMPRODUCT((Y$2:Y$1000="PS")*(F$2:F$1000=GZ41)*ISNUMBER(SEARCH("minimization",LOWER(Z$2:Z$1000)))*ISNUMBER(SEARCH(LOWER(HE$36),LOWER(AB$2:AB$1000))))</f>
        <v>0</v>
      </c>
      <c r="HF41" cm="1">
        <f t="array" ref="HF41">SUMPRODUCT((Y$2:Y$1000="PS")*(F$2:F$1000=GZ41)*ISNUMBER(SEARCH("minimization",LOWER(Z$2:Z$1000)))*ISNUMBER(SEARCH(LOWER(HF$36),LOWER(AB$2:AB$1000))))</f>
        <v>0</v>
      </c>
      <c r="HG41" cm="1">
        <f t="array" ref="HG41">SUMPRODUCT((Y$2:Y$1000="PS")*(F$2:F$1000=GZ41)*ISNUMBER(SEARCH("minimization",LOWER(Z$2:Z$1000)))*ISNUMBER(SEARCH(LOWER(HG$36),LOWER(AB$2:AB$1000))))</f>
        <v>0</v>
      </c>
      <c r="HH41" cm="1">
        <f t="array" ref="HH41">SUMPRODUCT((Y$2:Y$1000="PS")*(F$2:F$1000=GZ41)*ISNUMBER(SEARCH("minimization",LOWER(Z$2:Z$1000)))*ISNUMBER(SEARCH(LOWER(HH$36),LOWER(AB$2:AB$1000))))</f>
        <v>0</v>
      </c>
      <c r="HI41" cm="1">
        <f t="array" ref="HI41">SUMPRODUCT((Y$2:Y$1000="PS")*(F$2:F$1000=GZ41)*ISNUMBER(SEARCH("minimization",LOWER(Z$2:Z$1000)))*ISNUMBER(SEARCH(LOWER(HI$36),LOWER(AB$2:AB$1000))))</f>
        <v>0</v>
      </c>
      <c r="HJ41" cm="1">
        <f t="array" ref="HJ41">SUMPRODUCT((Y$2:Y$1000="PS")*(F$2:F$1000=GZ41)*ISNUMBER(SEARCH("minimization",LOWER(Z$2:Z$1000)))*ISNUMBER(SEARCH(LOWER(HJ$36),LOWER(AB$2:AB$1000))))</f>
        <v>0</v>
      </c>
      <c r="HK41" cm="1">
        <f t="array" ref="HK41">SUMPRODUCT((Y$2:Y$1000="PS")*(F$2:F$1000=GZ41)*ISNUMBER(SEARCH("minimization",LOWER(Z$2:Z$1000)))*ISNUMBER(SEARCH(LOWER(HK$36),LOWER(AB$2:AB$1000))))</f>
        <v>0</v>
      </c>
      <c r="HL41" cm="1">
        <f t="array" ref="HL41">SUMPRODUCT((Y$2:Y$1000="PS")*(F$2:F$1000=GZ41)*ISNUMBER(SEARCH("minimization",LOWER(Z$2:Z$1000)))*ISNUMBER(SEARCH(LOWER(HL$36),LOWER(AB$2:AB$1000))))</f>
        <v>0</v>
      </c>
      <c r="HM41" cm="1">
        <f t="array" ref="HM41">SUMPRODUCT((Y$2:Y$1000="PS")*(F$2:F$1000=GZ41)*ISNUMBER(SEARCH("minimization",LOWER(Z$2:Z$1000)))*ISNUMBER(SEARCH(LOWER(HM$36),LOWER(AB$2:AB$1000))))</f>
        <v>0</v>
      </c>
    </row>
    <row r="42" spans="1:221" ht="100.8">
      <c r="C42" t="s">
        <v>521</v>
      </c>
      <c r="D42" t="s">
        <v>522</v>
      </c>
      <c r="E42" t="s">
        <v>523</v>
      </c>
      <c r="F42">
        <v>2024</v>
      </c>
      <c r="J42" t="s">
        <v>524</v>
      </c>
      <c r="Y42" t="s">
        <v>58</v>
      </c>
      <c r="Z42" s="6" t="s">
        <v>525</v>
      </c>
      <c r="AA42" s="7" t="s">
        <v>526</v>
      </c>
      <c r="AB42" s="7" t="s">
        <v>1383</v>
      </c>
      <c r="AC42" s="6" t="s">
        <v>384</v>
      </c>
      <c r="AD42" s="7" t="s">
        <v>527</v>
      </c>
      <c r="AE42" s="6" t="s">
        <v>528</v>
      </c>
      <c r="AF42" s="7" t="s">
        <v>529</v>
      </c>
      <c r="AG42" s="7" t="s">
        <v>530</v>
      </c>
      <c r="AH42" s="7">
        <v>1</v>
      </c>
      <c r="AK42">
        <f t="shared" si="5"/>
        <v>1</v>
      </c>
      <c r="AL42">
        <f t="shared" si="0"/>
        <v>1</v>
      </c>
      <c r="AM42">
        <f t="shared" si="1"/>
        <v>0</v>
      </c>
      <c r="AN42">
        <f t="shared" si="2"/>
        <v>0</v>
      </c>
      <c r="FQ42" t="s">
        <v>1280</v>
      </c>
      <c r="FR42" s="35" cm="1">
        <f t="array" ref="FR42">SUMPRODUCT((Y$2:Y$1000="PS")*ISNUMBER(SEARCH(LOWER(FQ42),LOWER(AA$2:AA$1000)))*ISNUMBER(SEARCH("selection",LOWER(Z$2:Z$1000))))</f>
        <v>0</v>
      </c>
      <c r="FV42">
        <v>2018</v>
      </c>
      <c r="FW42" s="35" cm="1">
        <f t="array" ref="FW42">SUMPRODUCT((Y$2:Y$1000="PS")*(F$2:F$1000=FV42)*ISNUMBER(SEARCH("selection",LOWER(Z$2:Z$1000)))*ISNUMBER(SEARCH("integer",LOWER(AA$2:AA$1000))))</f>
        <v>3</v>
      </c>
      <c r="FX42" cm="1">
        <f t="array" ref="FX42">SUMPRODUCT((Y$2:Y$1000="PS")*(F$2:F$1000=FV42)*ISNUMBER(SEARCH("selection",LOWER(Z$2:Z$1000)))*ISNUMBER(SEARCH("data-flow",LOWER(AA$2:AA$1000))))</f>
        <v>0</v>
      </c>
      <c r="FY42" cm="1">
        <f t="array" ref="FY42">SUMPRODUCT((Y$2:Y$1000="PS")*(F$2:F$1000=FV42)*ISNUMBER(SEARCH("selection",LOWER(Z$2:Z$1000)))*ISNUMBER(SEARCH("symbolic",LOWER(AA$2:AA$1000))))</f>
        <v>0</v>
      </c>
      <c r="FZ42" cm="1">
        <f t="array" ref="FZ42">SUMPRODUCT((Y$2:Y$1000="PS")*(F$2:F$1000=FV42)*ISNUMBER(SEARCH("selection",LOWER(Z$2:Z$1000)))*ISNUMBER(SEARCH("dynamyc",LOWER(AA$2:AA$1000))))</f>
        <v>0</v>
      </c>
      <c r="GA42" cm="1">
        <f t="array" ref="GA42">SUMPRODUCT((Y$2:Y$1000="PS")*(F$2:F$1000=FV42)*ISNUMBER(SEARCH("selection",LOWER(Z$2:Z$1000)))*ISNUMBER(SEARCH("graph",LOWER(AA$2:AA$1000))))</f>
        <v>1</v>
      </c>
      <c r="GB42" cm="1">
        <f t="array" ref="GB42">SUMPRODUCT((Y$2:Y$1000="PS")*(F$2:F$1000=FV42)*ISNUMBER(SEARCH("selection",LOWER(Z$2:Z$1000)))*ISNUMBER(SEARCH("textual",LOWER(AA$2:AA$1000))))</f>
        <v>0</v>
      </c>
      <c r="GC42" cm="1">
        <f t="array" ref="GC42">SUMPRODUCT((Y$2:Y$1000="PS")*(F$2:F$1000=FV42)*ISNUMBER(SEARCH("selection",LOWER(Z$2:Z$1000)))*ISNUMBER(SEARCH("sdg",LOWER(AA$2:AA$1000))))</f>
        <v>0</v>
      </c>
      <c r="GD42" cm="1">
        <f t="array" ref="GD42">SUMPRODUCT((Y$2:Y$1000="PS")*(F$2:F$1000=FV42)*ISNUMBER(SEARCH("selection",LOWER(Z$2:Z$1000)))*ISNUMBER(SEARCH("path",LOWER(AA$2:AA$1000))))</f>
        <v>0</v>
      </c>
      <c r="GE42" cm="1">
        <f t="array" ref="GE42">SUMPRODUCT((Y$2:Y$1000="PS")*(F$2:F$1000=FV42)*ISNUMBER(SEARCH("selection",LOWER(Z$2:Z$1000)))*ISNUMBER(SEARCH("mod",LOWER(AA$2:AA$1000))))</f>
        <v>0</v>
      </c>
      <c r="GF42" cm="1">
        <f t="array" ref="GF42">SUMPRODUCT((Y$2:Y$1000="PS")*(F$2:F$1000=FV42)*ISNUMBER(SEARCH("selection",LOWER(Z$2:Z$1000)))*ISNUMBER(SEARCH("firewall",LOWER(AA$2:AA$1000))))</f>
        <v>0</v>
      </c>
      <c r="GG42" cm="1">
        <f t="array" ref="GG42">SUMPRODUCT((Y$2:Y$1000="PS")*(F$2:F$1000=FV42)*ISNUMBER(SEARCH("selection",LOWER(Z$2:Z$1000)))*ISNUMBER(SEARCH("cluster",LOWER(AA$2:AA$1000))))</f>
        <v>0</v>
      </c>
      <c r="GH42" cm="1">
        <f t="array" ref="GH42">SUMPRODUCT((Y$2:Y$1000="PS")*(F$2:F$1000=FV42)*ISNUMBER(SEARCH("selection",LOWER(Z$2:Z$1000)))*ISNUMBER(SEARCH("design",LOWER(AA$2:AA$1000))))</f>
        <v>0</v>
      </c>
      <c r="GI42" cm="1">
        <f t="array" ref="GI42">SUMPRODUCT((Y$2:Y$1000="PS")*(F$2:F$1000=FV42)*ISNUMBER(SEARCH("selection",LOWER(Z$2:Z$1000)))*ISNUMBER(SEARCH("hybrid",LOWER(AA$2:AA$1000))))</f>
        <v>0</v>
      </c>
      <c r="GJ42" cm="1">
        <f t="array" ref="GJ42">SUMPRODUCT((Y$2:Y$1000="PS")*(F$2:F$1000=FV42)*ISNUMBER(SEARCH("selection",LOWER(Z$2:Z$1000)))*ISNUMBER(SEARCH("selection",LOWER(AA$2:AA$1000))))</f>
        <v>0</v>
      </c>
      <c r="GK42" cm="1">
        <f t="array" ref="GK42">SUMPRODUCT((Y$2:Y$1000="PS")*(F$2:F$1000=FV42)*ISNUMBER(SEARCH("selection",LOWER(Z$2:Z$1000)))*ISNUMBER(SEARCH("detection",LOWER(AA$2:AA$1000))))</f>
        <v>0</v>
      </c>
      <c r="GL42" cm="1">
        <f t="array" ref="GL42">SUMPRODUCT((Y$2:Y$1000="PS")*(F$2:F$1000=FV42)*ISNUMBER(SEARCH("selection",LOWER(Z$2:Z$1000)))*ISNUMBER(SEARCH("coverage",LOWER(AA$2:AA$1000))))</f>
        <v>0</v>
      </c>
      <c r="GM42" cm="1">
        <f t="array" ref="GM42">SUMPRODUCT((Y$2:Y$1000="PS")*(F$2:F$1000=FV42)*ISNUMBER(SEARCH("selection",LOWER(Z$2:Z$1000)))*ISNUMBER(SEARCH("change",LOWER(AA$2:AA$1000))))</f>
        <v>0</v>
      </c>
      <c r="GN42" cm="1">
        <f t="array" ref="GN42">SUMPRODUCT((Y$2:Y$1000="PS")*(F$2:F$1000=FV42)*ISNUMBER(SEARCH("selection",LOWER(Z$2:Z$1000)))*ISNUMBER(SEARCH("model",LOWER(AA$2:AA$1000))))</f>
        <v>0</v>
      </c>
      <c r="GO42" cm="1">
        <f t="array" ref="GO42">SUMPRODUCT((Y$2:Y$1000="PS")*(F$2:F$1000=FV42)*ISNUMBER(SEARCH("selection",LOWER(Z$2:Z$1000)))*ISNUMBER(SEARCH("hystory",LOWER(AA$2:AA$1000))))</f>
        <v>0</v>
      </c>
      <c r="GP42" cm="1">
        <f t="array" ref="GP42">SUMPRODUCT((Y$2:Y$1000="PS")*(F$2:F$1000=FV42)*ISNUMBER(SEARCH("selection",LOWER(Z$2:Z$1000)))*ISNUMBER(SEARCH("cost-aware",LOWER(AA$2:AA$1000))))</f>
        <v>0</v>
      </c>
      <c r="GQ42" cm="1">
        <f t="array" ref="GQ42">SUMPRODUCT((Y$2:Y$1000="PS")*(F$2:F$1000=FV42)*ISNUMBER(SEARCH("selection",LOWER(Z$2:Z$1000)))*ISNUMBER(SEARCH("similarity",LOWER(AA$2:AA$1000))))</f>
        <v>0</v>
      </c>
      <c r="GR42" s="35" cm="1">
        <f t="array" ref="GR42">SUMPRODUCT((Y$2:Y$1000="PS")*(F$2:F$1000=FV42)*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2">
        <v>2018</v>
      </c>
      <c r="HA42" cm="1">
        <f t="array" ref="HA42">SUMPRODUCT((Y$2:Y$1000="PS")*(F$2:F$1000=GZ42)*ISNUMBER(SEARCH("minimization",LOWER(Z$2:Z$1000)))*ISNUMBER(SEARCH(LOWER(HA$36),LOWER(AB$2:AB$1000))))</f>
        <v>0</v>
      </c>
      <c r="HB42" cm="1">
        <f t="array" ref="HB42">SUMPRODUCT((Y$2:Y$1000="PS")*(F$2:F$1000=GZ42)*ISNUMBER(SEARCH("minimization",LOWER(Z$2:Z$1000)))*ISNUMBER(SEARCH(LOWER(HB$36),LOWER(AB$2:AB$1000))))</f>
        <v>0</v>
      </c>
      <c r="HC42" cm="1">
        <f t="array" ref="HC42">SUMPRODUCT((Y$2:Y$1000="PS")*(F$2:F$1000=GZ42)*ISNUMBER(SEARCH("minimization",LOWER(Z$2:Z$1000)))*ISNUMBER(SEARCH(LOWER(HC$36),LOWER(AB$2:AB$1000))))</f>
        <v>0</v>
      </c>
      <c r="HD42" cm="1">
        <f t="array" ref="HD42">SUMPRODUCT((Y$2:Y$1000="PS")*(F$2:F$1000=GZ42)*ISNUMBER(SEARCH("minimization",LOWER(Z$2:Z$1000)))*ISNUMBER(SEARCH(LOWER(HD$36),LOWER(AB$2:AB$1000))))</f>
        <v>0</v>
      </c>
      <c r="HE42" cm="1">
        <f t="array" ref="HE42">SUMPRODUCT((Y$2:Y$1000="PS")*(F$2:F$1000=GZ42)*ISNUMBER(SEARCH("minimization",LOWER(Z$2:Z$1000)))*ISNUMBER(SEARCH(LOWER(HE$36),LOWER(AB$2:AB$1000))))</f>
        <v>0</v>
      </c>
      <c r="HF42" cm="1">
        <f t="array" ref="HF42">SUMPRODUCT((Y$2:Y$1000="PS")*(F$2:F$1000=GZ42)*ISNUMBER(SEARCH("minimization",LOWER(Z$2:Z$1000)))*ISNUMBER(SEARCH(LOWER(HF$36),LOWER(AB$2:AB$1000))))</f>
        <v>0</v>
      </c>
      <c r="HG42" cm="1">
        <f t="array" ref="HG42">SUMPRODUCT((Y$2:Y$1000="PS")*(F$2:F$1000=GZ42)*ISNUMBER(SEARCH("minimization",LOWER(Z$2:Z$1000)))*ISNUMBER(SEARCH(LOWER(HG$36),LOWER(AB$2:AB$1000))))</f>
        <v>0</v>
      </c>
      <c r="HH42" cm="1">
        <f t="array" ref="HH42">SUMPRODUCT((Y$2:Y$1000="PS")*(F$2:F$1000=GZ42)*ISNUMBER(SEARCH("minimization",LOWER(Z$2:Z$1000)))*ISNUMBER(SEARCH(LOWER(HH$36),LOWER(AB$2:AB$1000))))</f>
        <v>0</v>
      </c>
      <c r="HI42" cm="1">
        <f t="array" ref="HI42">SUMPRODUCT((Y$2:Y$1000="PS")*(F$2:F$1000=GZ42)*ISNUMBER(SEARCH("minimization",LOWER(Z$2:Z$1000)))*ISNUMBER(SEARCH(LOWER(HI$36),LOWER(AB$2:AB$1000))))</f>
        <v>0</v>
      </c>
      <c r="HJ42" cm="1">
        <f t="array" ref="HJ42">SUMPRODUCT((Y$2:Y$1000="PS")*(F$2:F$1000=GZ42)*ISNUMBER(SEARCH("minimization",LOWER(Z$2:Z$1000)))*ISNUMBER(SEARCH(LOWER(HJ$36),LOWER(AB$2:AB$1000))))</f>
        <v>0</v>
      </c>
      <c r="HK42" cm="1">
        <f t="array" ref="HK42">SUMPRODUCT((Y$2:Y$1000="PS")*(F$2:F$1000=GZ42)*ISNUMBER(SEARCH("minimization",LOWER(Z$2:Z$1000)))*ISNUMBER(SEARCH(LOWER(HK$36),LOWER(AB$2:AB$1000))))</f>
        <v>0</v>
      </c>
      <c r="HL42" cm="1">
        <f t="array" ref="HL42">SUMPRODUCT((Y$2:Y$1000="PS")*(F$2:F$1000=GZ42)*ISNUMBER(SEARCH("minimization",LOWER(Z$2:Z$1000)))*ISNUMBER(SEARCH(LOWER(HL$36),LOWER(AB$2:AB$1000))))</f>
        <v>0</v>
      </c>
      <c r="HM42" cm="1">
        <f t="array" ref="HM42">SUMPRODUCT((Y$2:Y$1000="PS")*(F$2:F$1000=GZ42)*ISNUMBER(SEARCH("minimization",LOWER(Z$2:Z$1000)))*ISNUMBER(SEARCH(LOWER(HM$36),LOWER(AB$2:AB$1000))))</f>
        <v>0</v>
      </c>
    </row>
    <row r="43" spans="1:221" ht="57.6">
      <c r="C43" t="s">
        <v>531</v>
      </c>
      <c r="D43" t="s">
        <v>532</v>
      </c>
      <c r="E43" t="s">
        <v>533</v>
      </c>
      <c r="F43">
        <v>2023</v>
      </c>
      <c r="J43" t="s">
        <v>534</v>
      </c>
      <c r="Y43" t="s">
        <v>44</v>
      </c>
      <c r="Z43" s="6" t="s">
        <v>535</v>
      </c>
      <c r="AA43" s="16"/>
      <c r="AB43" s="16"/>
      <c r="AC43" s="16"/>
      <c r="AD43" s="16"/>
      <c r="AE43" s="16"/>
      <c r="AF43" s="16"/>
      <c r="AG43" s="16"/>
      <c r="AH43" s="16"/>
      <c r="AK43">
        <f t="shared" si="5"/>
        <v>0</v>
      </c>
      <c r="AL43">
        <f t="shared" si="0"/>
        <v>0</v>
      </c>
      <c r="AM43">
        <f t="shared" si="1"/>
        <v>0</v>
      </c>
      <c r="AN43">
        <f t="shared" si="2"/>
        <v>0</v>
      </c>
      <c r="FQ43" t="s">
        <v>1275</v>
      </c>
      <c r="FR43" s="35" cm="1">
        <f t="array" ref="FR43">SUMPRODUCT((Y$2:Y$1000="PS")*ISNUMBER(SEARCH(LOWER(FQ43),LOWER(AA$2:AA$1000)))*ISNUMBER(SEARCH("selection",LOWER(Z$2:Z$1000))))</f>
        <v>0</v>
      </c>
      <c r="FV43">
        <v>2019</v>
      </c>
      <c r="FW43" s="35" cm="1">
        <f t="array" ref="FW43">SUMPRODUCT((Y$2:Y$1000="PS")*(F$2:F$1000=FV43)*ISNUMBER(SEARCH("selection",LOWER(Z$2:Z$1000)))*ISNUMBER(SEARCH("integer",LOWER(AA$2:AA$1000))))</f>
        <v>1</v>
      </c>
      <c r="FX43" cm="1">
        <f t="array" ref="FX43">SUMPRODUCT((Y$2:Y$1000="PS")*(F$2:F$1000=FV43)*ISNUMBER(SEARCH("selection",LOWER(Z$2:Z$1000)))*ISNUMBER(SEARCH("data-flow",LOWER(AA$2:AA$1000))))</f>
        <v>0</v>
      </c>
      <c r="FY43" cm="1">
        <f t="array" ref="FY43">SUMPRODUCT((Y$2:Y$1000="PS")*(F$2:F$1000=FV43)*ISNUMBER(SEARCH("selection",LOWER(Z$2:Z$1000)))*ISNUMBER(SEARCH("symbolic",LOWER(AA$2:AA$1000))))</f>
        <v>0</v>
      </c>
      <c r="FZ43" cm="1">
        <f t="array" ref="FZ43">SUMPRODUCT((Y$2:Y$1000="PS")*(F$2:F$1000=FV43)*ISNUMBER(SEARCH("selection",LOWER(Z$2:Z$1000)))*ISNUMBER(SEARCH("dynamyc",LOWER(AA$2:AA$1000))))</f>
        <v>0</v>
      </c>
      <c r="GA43" cm="1">
        <f t="array" ref="GA43">SUMPRODUCT((Y$2:Y$1000="PS")*(F$2:F$1000=FV43)*ISNUMBER(SEARCH("selection",LOWER(Z$2:Z$1000)))*ISNUMBER(SEARCH("graph",LOWER(AA$2:AA$1000))))</f>
        <v>0</v>
      </c>
      <c r="GB43" cm="1">
        <f t="array" ref="GB43">SUMPRODUCT((Y$2:Y$1000="PS")*(F$2:F$1000=FV43)*ISNUMBER(SEARCH("selection",LOWER(Z$2:Z$1000)))*ISNUMBER(SEARCH("textual",LOWER(AA$2:AA$1000))))</f>
        <v>0</v>
      </c>
      <c r="GC43" cm="1">
        <f t="array" ref="GC43">SUMPRODUCT((Y$2:Y$1000="PS")*(F$2:F$1000=FV43)*ISNUMBER(SEARCH("selection",LOWER(Z$2:Z$1000)))*ISNUMBER(SEARCH("sdg",LOWER(AA$2:AA$1000))))</f>
        <v>0</v>
      </c>
      <c r="GD43" cm="1">
        <f t="array" ref="GD43">SUMPRODUCT((Y$2:Y$1000="PS")*(F$2:F$1000=FV43)*ISNUMBER(SEARCH("selection",LOWER(Z$2:Z$1000)))*ISNUMBER(SEARCH("path",LOWER(AA$2:AA$1000))))</f>
        <v>0</v>
      </c>
      <c r="GE43" cm="1">
        <f t="array" ref="GE43">SUMPRODUCT((Y$2:Y$1000="PS")*(F$2:F$1000=FV43)*ISNUMBER(SEARCH("selection",LOWER(Z$2:Z$1000)))*ISNUMBER(SEARCH("mod",LOWER(AA$2:AA$1000))))</f>
        <v>0</v>
      </c>
      <c r="GF43" cm="1">
        <f t="array" ref="GF43">SUMPRODUCT((Y$2:Y$1000="PS")*(F$2:F$1000=FV43)*ISNUMBER(SEARCH("selection",LOWER(Z$2:Z$1000)))*ISNUMBER(SEARCH("firewall",LOWER(AA$2:AA$1000))))</f>
        <v>0</v>
      </c>
      <c r="GG43" cm="1">
        <f t="array" ref="GG43">SUMPRODUCT((Y$2:Y$1000="PS")*(F$2:F$1000=FV43)*ISNUMBER(SEARCH("selection",LOWER(Z$2:Z$1000)))*ISNUMBER(SEARCH("cluster",LOWER(AA$2:AA$1000))))</f>
        <v>0</v>
      </c>
      <c r="GH43" cm="1">
        <f t="array" ref="GH43">SUMPRODUCT((Y$2:Y$1000="PS")*(F$2:F$1000=FV43)*ISNUMBER(SEARCH("selection",LOWER(Z$2:Z$1000)))*ISNUMBER(SEARCH("design",LOWER(AA$2:AA$1000))))</f>
        <v>0</v>
      </c>
      <c r="GI43" cm="1">
        <f t="array" ref="GI43">SUMPRODUCT((Y$2:Y$1000="PS")*(F$2:F$1000=FV43)*ISNUMBER(SEARCH("selection",LOWER(Z$2:Z$1000)))*ISNUMBER(SEARCH("hybrid",LOWER(AA$2:AA$1000))))</f>
        <v>0</v>
      </c>
      <c r="GJ43" cm="1">
        <f t="array" ref="GJ43">SUMPRODUCT((Y$2:Y$1000="PS")*(F$2:F$1000=FV43)*ISNUMBER(SEARCH("selection",LOWER(Z$2:Z$1000)))*ISNUMBER(SEARCH("selection",LOWER(AA$2:AA$1000))))</f>
        <v>0</v>
      </c>
      <c r="GK43" cm="1">
        <f t="array" ref="GK43">SUMPRODUCT((Y$2:Y$1000="PS")*(F$2:F$1000=FV43)*ISNUMBER(SEARCH("selection",LOWER(Z$2:Z$1000)))*ISNUMBER(SEARCH("detection",LOWER(AA$2:AA$1000))))</f>
        <v>0</v>
      </c>
      <c r="GL43" cm="1">
        <f t="array" ref="GL43">SUMPRODUCT((Y$2:Y$1000="PS")*(F$2:F$1000=FV43)*ISNUMBER(SEARCH("selection",LOWER(Z$2:Z$1000)))*ISNUMBER(SEARCH("coverage",LOWER(AA$2:AA$1000))))</f>
        <v>0</v>
      </c>
      <c r="GM43" cm="1">
        <f t="array" ref="GM43">SUMPRODUCT((Y$2:Y$1000="PS")*(F$2:F$1000=FV43)*ISNUMBER(SEARCH("selection",LOWER(Z$2:Z$1000)))*ISNUMBER(SEARCH("change",LOWER(AA$2:AA$1000))))</f>
        <v>0</v>
      </c>
      <c r="GN43" cm="1">
        <f t="array" ref="GN43">SUMPRODUCT((Y$2:Y$1000="PS")*(F$2:F$1000=FV43)*ISNUMBER(SEARCH("selection",LOWER(Z$2:Z$1000)))*ISNUMBER(SEARCH("model",LOWER(AA$2:AA$1000))))</f>
        <v>0</v>
      </c>
      <c r="GO43" cm="1">
        <f t="array" ref="GO43">SUMPRODUCT((Y$2:Y$1000="PS")*(F$2:F$1000=FV43)*ISNUMBER(SEARCH("selection",LOWER(Z$2:Z$1000)))*ISNUMBER(SEARCH("hystory",LOWER(AA$2:AA$1000))))</f>
        <v>0</v>
      </c>
      <c r="GP43" cm="1">
        <f t="array" ref="GP43">SUMPRODUCT((Y$2:Y$1000="PS")*(F$2:F$1000=FV43)*ISNUMBER(SEARCH("selection",LOWER(Z$2:Z$1000)))*ISNUMBER(SEARCH("cost-aware",LOWER(AA$2:AA$1000))))</f>
        <v>0</v>
      </c>
      <c r="GQ43" cm="1">
        <f t="array" ref="GQ43">SUMPRODUCT((Y$2:Y$1000="PS")*(F$2:F$1000=FV43)*ISNUMBER(SEARCH("selection",LOWER(Z$2:Z$1000)))*ISNUMBER(SEARCH("similarity",LOWER(AA$2:AA$1000))))</f>
        <v>0</v>
      </c>
      <c r="GR43" s="35" cm="1">
        <f t="array" ref="GR43">SUMPRODUCT((Y$2:Y$1000="PS")*(F$2:F$1000=FV43)*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3">
        <v>2019</v>
      </c>
      <c r="HA43" cm="1">
        <f t="array" ref="HA43">SUMPRODUCT((Y$2:Y$1000="PS")*(F$2:F$1000=GZ43)*ISNUMBER(SEARCH("minimization",LOWER(Z$2:Z$1000)))*ISNUMBER(SEARCH(LOWER(HA$36),LOWER(AB$2:AB$1000))))</f>
        <v>0</v>
      </c>
      <c r="HB43" cm="1">
        <f t="array" ref="HB43">SUMPRODUCT((Y$2:Y$1000="PS")*(F$2:F$1000=GZ43)*ISNUMBER(SEARCH("minimization",LOWER(Z$2:Z$1000)))*ISNUMBER(SEARCH(LOWER(HB$36),LOWER(AB$2:AB$1000))))</f>
        <v>0</v>
      </c>
      <c r="HC43" cm="1">
        <f t="array" ref="HC43">SUMPRODUCT((Y$2:Y$1000="PS")*(F$2:F$1000=GZ43)*ISNUMBER(SEARCH("minimization",LOWER(Z$2:Z$1000)))*ISNUMBER(SEARCH(LOWER(HC$36),LOWER(AB$2:AB$1000))))</f>
        <v>0</v>
      </c>
      <c r="HD43" cm="1">
        <f t="array" ref="HD43">SUMPRODUCT((Y$2:Y$1000="PS")*(F$2:F$1000=GZ43)*ISNUMBER(SEARCH("minimization",LOWER(Z$2:Z$1000)))*ISNUMBER(SEARCH(LOWER(HD$36),LOWER(AB$2:AB$1000))))</f>
        <v>0</v>
      </c>
      <c r="HE43" cm="1">
        <f t="array" ref="HE43">SUMPRODUCT((Y$2:Y$1000="PS")*(F$2:F$1000=GZ43)*ISNUMBER(SEARCH("minimization",LOWER(Z$2:Z$1000)))*ISNUMBER(SEARCH(LOWER(HE$36),LOWER(AB$2:AB$1000))))</f>
        <v>0</v>
      </c>
      <c r="HF43" cm="1">
        <f t="array" ref="HF43">SUMPRODUCT((Y$2:Y$1000="PS")*(F$2:F$1000=GZ43)*ISNUMBER(SEARCH("minimization",LOWER(Z$2:Z$1000)))*ISNUMBER(SEARCH(LOWER(HF$36),LOWER(AB$2:AB$1000))))</f>
        <v>0</v>
      </c>
      <c r="HG43" cm="1">
        <f t="array" ref="HG43">SUMPRODUCT((Y$2:Y$1000="PS")*(F$2:F$1000=GZ43)*ISNUMBER(SEARCH("minimization",LOWER(Z$2:Z$1000)))*ISNUMBER(SEARCH(LOWER(HG$36),LOWER(AB$2:AB$1000))))</f>
        <v>0</v>
      </c>
      <c r="HH43" cm="1">
        <f t="array" ref="HH43">SUMPRODUCT((Y$2:Y$1000="PS")*(F$2:F$1000=GZ43)*ISNUMBER(SEARCH("minimization",LOWER(Z$2:Z$1000)))*ISNUMBER(SEARCH(LOWER(HH$36),LOWER(AB$2:AB$1000))))</f>
        <v>0</v>
      </c>
      <c r="HI43" cm="1">
        <f t="array" ref="HI43">SUMPRODUCT((Y$2:Y$1000="PS")*(F$2:F$1000=GZ43)*ISNUMBER(SEARCH("minimization",LOWER(Z$2:Z$1000)))*ISNUMBER(SEARCH(LOWER(HI$36),LOWER(AB$2:AB$1000))))</f>
        <v>0</v>
      </c>
      <c r="HJ43" cm="1">
        <f t="array" ref="HJ43">SUMPRODUCT((Y$2:Y$1000="PS")*(F$2:F$1000=GZ43)*ISNUMBER(SEARCH("minimization",LOWER(Z$2:Z$1000)))*ISNUMBER(SEARCH(LOWER(HJ$36),LOWER(AB$2:AB$1000))))</f>
        <v>0</v>
      </c>
      <c r="HK43" cm="1">
        <f t="array" ref="HK43">SUMPRODUCT((Y$2:Y$1000="PS")*(F$2:F$1000=GZ43)*ISNUMBER(SEARCH("minimization",LOWER(Z$2:Z$1000)))*ISNUMBER(SEARCH(LOWER(HK$36),LOWER(AB$2:AB$1000))))</f>
        <v>0</v>
      </c>
      <c r="HL43" cm="1">
        <f t="array" ref="HL43">SUMPRODUCT((Y$2:Y$1000="PS")*(F$2:F$1000=GZ43)*ISNUMBER(SEARCH("minimization",LOWER(Z$2:Z$1000)))*ISNUMBER(SEARCH(LOWER(HL$36),LOWER(AB$2:AB$1000))))</f>
        <v>0</v>
      </c>
      <c r="HM43" cm="1">
        <f t="array" ref="HM43">SUMPRODUCT((Y$2:Y$1000="PS")*(F$2:F$1000=GZ43)*ISNUMBER(SEARCH("minimization",LOWER(Z$2:Z$1000)))*ISNUMBER(SEARCH(LOWER(HM$36),LOWER(AB$2:AB$1000))))</f>
        <v>0</v>
      </c>
    </row>
    <row r="44" spans="1:221" ht="100.8">
      <c r="C44" t="s">
        <v>536</v>
      </c>
      <c r="D44" t="s">
        <v>537</v>
      </c>
      <c r="E44" t="s">
        <v>538</v>
      </c>
      <c r="F44">
        <v>2024</v>
      </c>
      <c r="J44" t="s">
        <v>539</v>
      </c>
      <c r="Y44" t="s">
        <v>58</v>
      </c>
      <c r="Z44" s="6" t="s">
        <v>540</v>
      </c>
      <c r="AA44" s="7" t="s">
        <v>1273</v>
      </c>
      <c r="AB44" s="7" t="s">
        <v>91</v>
      </c>
      <c r="AC44" s="7"/>
      <c r="AD44" s="7" t="s">
        <v>541</v>
      </c>
      <c r="AE44" s="6" t="s">
        <v>542</v>
      </c>
      <c r="AF44" s="7" t="s">
        <v>543</v>
      </c>
      <c r="AG44" s="7" t="s">
        <v>544</v>
      </c>
      <c r="AH44" s="7">
        <v>1</v>
      </c>
      <c r="AK44">
        <f t="shared" si="5"/>
        <v>1</v>
      </c>
      <c r="AL44">
        <f t="shared" si="0"/>
        <v>0</v>
      </c>
      <c r="AM44">
        <f t="shared" si="1"/>
        <v>0</v>
      </c>
      <c r="AN44">
        <f t="shared" si="2"/>
        <v>1</v>
      </c>
      <c r="FQ44" t="s">
        <v>1274</v>
      </c>
      <c r="FR44" s="35" cm="1">
        <f t="array" ref="FR44">SUMPRODUCT((Y$2:Y$1000="PS")*ISNUMBER(SEARCH(LOWER(FQ44),LOWER(AA$2:AA$1000)))*ISNUMBER(SEARCH("selection",LOWER(Z$2:Z$1000))))</f>
        <v>3</v>
      </c>
      <c r="FV44">
        <v>2020</v>
      </c>
      <c r="FW44" s="35" cm="1">
        <f t="array" ref="FW44">SUMPRODUCT((Y$2:Y$1000="PS")*(F$2:F$1000=FV44)*ISNUMBER(SEARCH("selection",LOWER(Z$2:Z$1000)))*ISNUMBER(SEARCH("integer",LOWER(AA$2:AA$1000))))</f>
        <v>1</v>
      </c>
      <c r="FX44" cm="1">
        <f t="array" ref="FX44">SUMPRODUCT((Y$2:Y$1000="PS")*(F$2:F$1000=FV44)*ISNUMBER(SEARCH("selection",LOWER(Z$2:Z$1000)))*ISNUMBER(SEARCH("data-flow",LOWER(AA$2:AA$1000))))</f>
        <v>0</v>
      </c>
      <c r="FY44" cm="1">
        <f t="array" ref="FY44">SUMPRODUCT((Y$2:Y$1000="PS")*(F$2:F$1000=FV44)*ISNUMBER(SEARCH("selection",LOWER(Z$2:Z$1000)))*ISNUMBER(SEARCH("symbolic",LOWER(AA$2:AA$1000))))</f>
        <v>0</v>
      </c>
      <c r="FZ44" cm="1">
        <f t="array" ref="FZ44">SUMPRODUCT((Y$2:Y$1000="PS")*(F$2:F$1000=FV44)*ISNUMBER(SEARCH("selection",LOWER(Z$2:Z$1000)))*ISNUMBER(SEARCH("dynamyc",LOWER(AA$2:AA$1000))))</f>
        <v>0</v>
      </c>
      <c r="GA44" cm="1">
        <f t="array" ref="GA44">SUMPRODUCT((Y$2:Y$1000="PS")*(F$2:F$1000=FV44)*ISNUMBER(SEARCH("selection",LOWER(Z$2:Z$1000)))*ISNUMBER(SEARCH("graph",LOWER(AA$2:AA$1000))))</f>
        <v>0</v>
      </c>
      <c r="GB44" cm="1">
        <f t="array" ref="GB44">SUMPRODUCT((Y$2:Y$1000="PS")*(F$2:F$1000=FV44)*ISNUMBER(SEARCH("selection",LOWER(Z$2:Z$1000)))*ISNUMBER(SEARCH("textual",LOWER(AA$2:AA$1000))))</f>
        <v>0</v>
      </c>
      <c r="GC44" cm="1">
        <f t="array" ref="GC44">SUMPRODUCT((Y$2:Y$1000="PS")*(F$2:F$1000=FV44)*ISNUMBER(SEARCH("selection",LOWER(Z$2:Z$1000)))*ISNUMBER(SEARCH("sdg",LOWER(AA$2:AA$1000))))</f>
        <v>0</v>
      </c>
      <c r="GD44" cm="1">
        <f t="array" ref="GD44">SUMPRODUCT((Y$2:Y$1000="PS")*(F$2:F$1000=FV44)*ISNUMBER(SEARCH("selection",LOWER(Z$2:Z$1000)))*ISNUMBER(SEARCH("path",LOWER(AA$2:AA$1000))))</f>
        <v>0</v>
      </c>
      <c r="GE44" cm="1">
        <f t="array" ref="GE44">SUMPRODUCT((Y$2:Y$1000="PS")*(F$2:F$1000=FV44)*ISNUMBER(SEARCH("selection",LOWER(Z$2:Z$1000)))*ISNUMBER(SEARCH("mod",LOWER(AA$2:AA$1000))))</f>
        <v>0</v>
      </c>
      <c r="GF44" cm="1">
        <f t="array" ref="GF44">SUMPRODUCT((Y$2:Y$1000="PS")*(F$2:F$1000=FV44)*ISNUMBER(SEARCH("selection",LOWER(Z$2:Z$1000)))*ISNUMBER(SEARCH("firewall",LOWER(AA$2:AA$1000))))</f>
        <v>0</v>
      </c>
      <c r="GG44" cm="1">
        <f t="array" ref="GG44">SUMPRODUCT((Y$2:Y$1000="PS")*(F$2:F$1000=FV44)*ISNUMBER(SEARCH("selection",LOWER(Z$2:Z$1000)))*ISNUMBER(SEARCH("cluster",LOWER(AA$2:AA$1000))))</f>
        <v>0</v>
      </c>
      <c r="GH44" cm="1">
        <f t="array" ref="GH44">SUMPRODUCT((Y$2:Y$1000="PS")*(F$2:F$1000=FV44)*ISNUMBER(SEARCH("selection",LOWER(Z$2:Z$1000)))*ISNUMBER(SEARCH("design",LOWER(AA$2:AA$1000))))</f>
        <v>0</v>
      </c>
      <c r="GI44" cm="1">
        <f t="array" ref="GI44">SUMPRODUCT((Y$2:Y$1000="PS")*(F$2:F$1000=FV44)*ISNUMBER(SEARCH("selection",LOWER(Z$2:Z$1000)))*ISNUMBER(SEARCH("hybrid",LOWER(AA$2:AA$1000))))</f>
        <v>0</v>
      </c>
      <c r="GJ44" cm="1">
        <f t="array" ref="GJ44">SUMPRODUCT((Y$2:Y$1000="PS")*(F$2:F$1000=FV44)*ISNUMBER(SEARCH("selection",LOWER(Z$2:Z$1000)))*ISNUMBER(SEARCH("selection",LOWER(AA$2:AA$1000))))</f>
        <v>0</v>
      </c>
      <c r="GK44" cm="1">
        <f t="array" ref="GK44">SUMPRODUCT((Y$2:Y$1000="PS")*(F$2:F$1000=FV44)*ISNUMBER(SEARCH("selection",LOWER(Z$2:Z$1000)))*ISNUMBER(SEARCH("detection",LOWER(AA$2:AA$1000))))</f>
        <v>0</v>
      </c>
      <c r="GL44" cm="1">
        <f t="array" ref="GL44">SUMPRODUCT((Y$2:Y$1000="PS")*(F$2:F$1000=FV44)*ISNUMBER(SEARCH("selection",LOWER(Z$2:Z$1000)))*ISNUMBER(SEARCH("coverage",LOWER(AA$2:AA$1000))))</f>
        <v>0</v>
      </c>
      <c r="GM44" cm="1">
        <f t="array" ref="GM44">SUMPRODUCT((Y$2:Y$1000="PS")*(F$2:F$1000=FV44)*ISNUMBER(SEARCH("selection",LOWER(Z$2:Z$1000)))*ISNUMBER(SEARCH("change",LOWER(AA$2:AA$1000))))</f>
        <v>0</v>
      </c>
      <c r="GN44" cm="1">
        <f t="array" ref="GN44">SUMPRODUCT((Y$2:Y$1000="PS")*(F$2:F$1000=FV44)*ISNUMBER(SEARCH("selection",LOWER(Z$2:Z$1000)))*ISNUMBER(SEARCH("model",LOWER(AA$2:AA$1000))))</f>
        <v>0</v>
      </c>
      <c r="GO44" cm="1">
        <f t="array" ref="GO44">SUMPRODUCT((Y$2:Y$1000="PS")*(F$2:F$1000=FV44)*ISNUMBER(SEARCH("selection",LOWER(Z$2:Z$1000)))*ISNUMBER(SEARCH("hystory",LOWER(AA$2:AA$1000))))</f>
        <v>0</v>
      </c>
      <c r="GP44" cm="1">
        <f t="array" ref="GP44">SUMPRODUCT((Y$2:Y$1000="PS")*(F$2:F$1000=FV44)*ISNUMBER(SEARCH("selection",LOWER(Z$2:Z$1000)))*ISNUMBER(SEARCH("cost-aware",LOWER(AA$2:AA$1000))))</f>
        <v>0</v>
      </c>
      <c r="GQ44" cm="1">
        <f t="array" ref="GQ44">SUMPRODUCT((Y$2:Y$1000="PS")*(F$2:F$1000=FV44)*ISNUMBER(SEARCH("selection",LOWER(Z$2:Z$1000)))*ISNUMBER(SEARCH("similarity",LOWER(AA$2:AA$1000))))</f>
        <v>0</v>
      </c>
      <c r="GR44" s="35" cm="1">
        <f t="array" ref="GR44">SUMPRODUCT((Y$2:Y$1000="PS")*(F$2:F$1000=FV44)*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4">
        <v>2020</v>
      </c>
      <c r="HA44" cm="1">
        <f t="array" ref="HA44">SUMPRODUCT((Y$2:Y$1000="PS")*(F$2:F$1000=GZ44)*ISNUMBER(SEARCH("minimization",LOWER(Z$2:Z$1000)))*ISNUMBER(SEARCH(LOWER(HA$36),LOWER(AB$2:AB$1000))))</f>
        <v>0</v>
      </c>
      <c r="HB44" cm="1">
        <f t="array" ref="HB44">SUMPRODUCT((Y$2:Y$1000="PS")*(F$2:F$1000=GZ44)*ISNUMBER(SEARCH("minimization",LOWER(Z$2:Z$1000)))*ISNUMBER(SEARCH(LOWER(HB$36),LOWER(AB$2:AB$1000))))</f>
        <v>0</v>
      </c>
      <c r="HC44" cm="1">
        <f t="array" ref="HC44">SUMPRODUCT((Y$2:Y$1000="PS")*(F$2:F$1000=GZ44)*ISNUMBER(SEARCH("minimization",LOWER(Z$2:Z$1000)))*ISNUMBER(SEARCH(LOWER(HC$36),LOWER(AB$2:AB$1000))))</f>
        <v>0</v>
      </c>
      <c r="HD44" cm="1">
        <f t="array" ref="HD44">SUMPRODUCT((Y$2:Y$1000="PS")*(F$2:F$1000=GZ44)*ISNUMBER(SEARCH("minimization",LOWER(Z$2:Z$1000)))*ISNUMBER(SEARCH(LOWER(HD$36),LOWER(AB$2:AB$1000))))</f>
        <v>0</v>
      </c>
      <c r="HE44" cm="1">
        <f t="array" ref="HE44">SUMPRODUCT((Y$2:Y$1000="PS")*(F$2:F$1000=GZ44)*ISNUMBER(SEARCH("minimization",LOWER(Z$2:Z$1000)))*ISNUMBER(SEARCH(LOWER(HE$36),LOWER(AB$2:AB$1000))))</f>
        <v>0</v>
      </c>
      <c r="HF44" cm="1">
        <f t="array" ref="HF44">SUMPRODUCT((Y$2:Y$1000="PS")*(F$2:F$1000=GZ44)*ISNUMBER(SEARCH("minimization",LOWER(Z$2:Z$1000)))*ISNUMBER(SEARCH(LOWER(HF$36),LOWER(AB$2:AB$1000))))</f>
        <v>0</v>
      </c>
      <c r="HG44" cm="1">
        <f t="array" ref="HG44">SUMPRODUCT((Y$2:Y$1000="PS")*(F$2:F$1000=GZ44)*ISNUMBER(SEARCH("minimization",LOWER(Z$2:Z$1000)))*ISNUMBER(SEARCH(LOWER(HG$36),LOWER(AB$2:AB$1000))))</f>
        <v>0</v>
      </c>
      <c r="HH44" cm="1">
        <f t="array" ref="HH44">SUMPRODUCT((Y$2:Y$1000="PS")*(F$2:F$1000=GZ44)*ISNUMBER(SEARCH("minimization",LOWER(Z$2:Z$1000)))*ISNUMBER(SEARCH(LOWER(HH$36),LOWER(AB$2:AB$1000))))</f>
        <v>0</v>
      </c>
      <c r="HI44" cm="1">
        <f t="array" ref="HI44">SUMPRODUCT((Y$2:Y$1000="PS")*(F$2:F$1000=GZ44)*ISNUMBER(SEARCH("minimization",LOWER(Z$2:Z$1000)))*ISNUMBER(SEARCH(LOWER(HI$36),LOWER(AB$2:AB$1000))))</f>
        <v>0</v>
      </c>
      <c r="HJ44" cm="1">
        <f t="array" ref="HJ44">SUMPRODUCT((Y$2:Y$1000="PS")*(F$2:F$1000=GZ44)*ISNUMBER(SEARCH("minimization",LOWER(Z$2:Z$1000)))*ISNUMBER(SEARCH(LOWER(HJ$36),LOWER(AB$2:AB$1000))))</f>
        <v>0</v>
      </c>
      <c r="HK44" cm="1">
        <f t="array" ref="HK44">SUMPRODUCT((Y$2:Y$1000="PS")*(F$2:F$1000=GZ44)*ISNUMBER(SEARCH("minimization",LOWER(Z$2:Z$1000)))*ISNUMBER(SEARCH(LOWER(HK$36),LOWER(AB$2:AB$1000))))</f>
        <v>0</v>
      </c>
      <c r="HL44" cm="1">
        <f t="array" ref="HL44">SUMPRODUCT((Y$2:Y$1000="PS")*(F$2:F$1000=GZ44)*ISNUMBER(SEARCH("minimization",LOWER(Z$2:Z$1000)))*ISNUMBER(SEARCH(LOWER(HL$36),LOWER(AB$2:AB$1000))))</f>
        <v>0</v>
      </c>
      <c r="HM44" cm="1">
        <f t="array" ref="HM44">SUMPRODUCT((Y$2:Y$1000="PS")*(F$2:F$1000=GZ44)*ISNUMBER(SEARCH("minimization",LOWER(Z$2:Z$1000)))*ISNUMBER(SEARCH(LOWER(HM$36),LOWER(AB$2:AB$1000))))</f>
        <v>0</v>
      </c>
    </row>
    <row r="45" spans="1:221" ht="158.4">
      <c r="C45" t="s">
        <v>545</v>
      </c>
      <c r="D45" t="s">
        <v>546</v>
      </c>
      <c r="E45" t="s">
        <v>547</v>
      </c>
      <c r="F45">
        <v>2022</v>
      </c>
      <c r="J45" t="s">
        <v>548</v>
      </c>
      <c r="Y45" t="s">
        <v>58</v>
      </c>
      <c r="Z45" s="6" t="s">
        <v>549</v>
      </c>
      <c r="AA45" s="7" t="s">
        <v>408</v>
      </c>
      <c r="AB45" s="7" t="s">
        <v>1315</v>
      </c>
      <c r="AC45" s="8"/>
      <c r="AD45" s="7" t="s">
        <v>551</v>
      </c>
      <c r="AE45" s="6" t="s">
        <v>552</v>
      </c>
      <c r="AF45" s="7" t="s">
        <v>553</v>
      </c>
      <c r="AG45" s="7" t="s">
        <v>554</v>
      </c>
      <c r="AH45" s="6" t="s">
        <v>555</v>
      </c>
      <c r="AK45">
        <f t="shared" si="5"/>
        <v>1</v>
      </c>
      <c r="AL45">
        <f t="shared" si="0"/>
        <v>0</v>
      </c>
      <c r="AM45">
        <f t="shared" si="1"/>
        <v>0</v>
      </c>
      <c r="AN45">
        <f t="shared" si="2"/>
        <v>1</v>
      </c>
      <c r="FQ45" t="s">
        <v>1276</v>
      </c>
      <c r="FR45" s="35" cm="1">
        <f t="array" ref="FR45">SUMPRODUCT((Y$2:Y$1000="PS")*ISNUMBER(SEARCH(LOWER(FQ45),LOWER(AA$2:AA$1000)))*ISNUMBER(SEARCH("selection",LOWER(Z$2:Z$1000))))</f>
        <v>1</v>
      </c>
      <c r="FV45">
        <v>2021</v>
      </c>
      <c r="FW45" s="35" cm="1">
        <f t="array" ref="FW45">SUMPRODUCT((Y$2:Y$1000="PS")*(F$2:F$1000=FV45)*ISNUMBER(SEARCH("selection",LOWER(Z$2:Z$1000)))*ISNUMBER(SEARCH("integer",LOWER(AA$2:AA$1000))))</f>
        <v>0</v>
      </c>
      <c r="FX45" cm="1">
        <f t="array" ref="FX45">SUMPRODUCT((Y$2:Y$1000="PS")*(F$2:F$1000=FV45)*ISNUMBER(SEARCH("selection",LOWER(Z$2:Z$1000)))*ISNUMBER(SEARCH("data-flow",LOWER(AA$2:AA$1000))))</f>
        <v>0</v>
      </c>
      <c r="FY45" cm="1">
        <f t="array" ref="FY45">SUMPRODUCT((Y$2:Y$1000="PS")*(F$2:F$1000=FV45)*ISNUMBER(SEARCH("selection",LOWER(Z$2:Z$1000)))*ISNUMBER(SEARCH("symbolic",LOWER(AA$2:AA$1000))))</f>
        <v>0</v>
      </c>
      <c r="FZ45" cm="1">
        <f t="array" ref="FZ45">SUMPRODUCT((Y$2:Y$1000="PS")*(F$2:F$1000=FV45)*ISNUMBER(SEARCH("selection",LOWER(Z$2:Z$1000)))*ISNUMBER(SEARCH("dynamyc",LOWER(AA$2:AA$1000))))</f>
        <v>0</v>
      </c>
      <c r="GA45" cm="1">
        <f t="array" ref="GA45">SUMPRODUCT((Y$2:Y$1000="PS")*(F$2:F$1000=FV45)*ISNUMBER(SEARCH("selection",LOWER(Z$2:Z$1000)))*ISNUMBER(SEARCH("graph",LOWER(AA$2:AA$1000))))</f>
        <v>0</v>
      </c>
      <c r="GB45" cm="1">
        <f t="array" ref="GB45">SUMPRODUCT((Y$2:Y$1000="PS")*(F$2:F$1000=FV45)*ISNUMBER(SEARCH("selection",LOWER(Z$2:Z$1000)))*ISNUMBER(SEARCH("textual",LOWER(AA$2:AA$1000))))</f>
        <v>0</v>
      </c>
      <c r="GC45" cm="1">
        <f t="array" ref="GC45">SUMPRODUCT((Y$2:Y$1000="PS")*(F$2:F$1000=FV45)*ISNUMBER(SEARCH("selection",LOWER(Z$2:Z$1000)))*ISNUMBER(SEARCH("sdg",LOWER(AA$2:AA$1000))))</f>
        <v>0</v>
      </c>
      <c r="GD45" cm="1">
        <f t="array" ref="GD45">SUMPRODUCT((Y$2:Y$1000="PS")*(F$2:F$1000=FV45)*ISNUMBER(SEARCH("selection",LOWER(Z$2:Z$1000)))*ISNUMBER(SEARCH("path",LOWER(AA$2:AA$1000))))</f>
        <v>0</v>
      </c>
      <c r="GE45" cm="1">
        <f t="array" ref="GE45">SUMPRODUCT((Y$2:Y$1000="PS")*(F$2:F$1000=FV45)*ISNUMBER(SEARCH("selection",LOWER(Z$2:Z$1000)))*ISNUMBER(SEARCH("mod",LOWER(AA$2:AA$1000))))</f>
        <v>1</v>
      </c>
      <c r="GF45" cm="1">
        <f t="array" ref="GF45">SUMPRODUCT((Y$2:Y$1000="PS")*(F$2:F$1000=FV45)*ISNUMBER(SEARCH("selection",LOWER(Z$2:Z$1000)))*ISNUMBER(SEARCH("firewall",LOWER(AA$2:AA$1000))))</f>
        <v>0</v>
      </c>
      <c r="GG45" cm="1">
        <f t="array" ref="GG45">SUMPRODUCT((Y$2:Y$1000="PS")*(F$2:F$1000=FV45)*ISNUMBER(SEARCH("selection",LOWER(Z$2:Z$1000)))*ISNUMBER(SEARCH("cluster",LOWER(AA$2:AA$1000))))</f>
        <v>0</v>
      </c>
      <c r="GH45" cm="1">
        <f t="array" ref="GH45">SUMPRODUCT((Y$2:Y$1000="PS")*(F$2:F$1000=FV45)*ISNUMBER(SEARCH("selection",LOWER(Z$2:Z$1000)))*ISNUMBER(SEARCH("design",LOWER(AA$2:AA$1000))))</f>
        <v>0</v>
      </c>
      <c r="GI45" cm="1">
        <f t="array" ref="GI45">SUMPRODUCT((Y$2:Y$1000="PS")*(F$2:F$1000=FV45)*ISNUMBER(SEARCH("selection",LOWER(Z$2:Z$1000)))*ISNUMBER(SEARCH("hybrid",LOWER(AA$2:AA$1000))))</f>
        <v>0</v>
      </c>
      <c r="GJ45" cm="1">
        <f t="array" ref="GJ45">SUMPRODUCT((Y$2:Y$1000="PS")*(F$2:F$1000=FV45)*ISNUMBER(SEARCH("selection",LOWER(Z$2:Z$1000)))*ISNUMBER(SEARCH("selection",LOWER(AA$2:AA$1000))))</f>
        <v>0</v>
      </c>
      <c r="GK45" cm="1">
        <f t="array" ref="GK45">SUMPRODUCT((Y$2:Y$1000="PS")*(F$2:F$1000=FV45)*ISNUMBER(SEARCH("selection",LOWER(Z$2:Z$1000)))*ISNUMBER(SEARCH("detection",LOWER(AA$2:AA$1000))))</f>
        <v>0</v>
      </c>
      <c r="GL45" cm="1">
        <f t="array" ref="GL45">SUMPRODUCT((Y$2:Y$1000="PS")*(F$2:F$1000=FV45)*ISNUMBER(SEARCH("selection",LOWER(Z$2:Z$1000)))*ISNUMBER(SEARCH("coverage",LOWER(AA$2:AA$1000))))</f>
        <v>0</v>
      </c>
      <c r="GM45" cm="1">
        <f t="array" ref="GM45">SUMPRODUCT((Y$2:Y$1000="PS")*(F$2:F$1000=FV45)*ISNUMBER(SEARCH("selection",LOWER(Z$2:Z$1000)))*ISNUMBER(SEARCH("change",LOWER(AA$2:AA$1000))))</f>
        <v>0</v>
      </c>
      <c r="GN45" cm="1">
        <f t="array" ref="GN45">SUMPRODUCT((Y$2:Y$1000="PS")*(F$2:F$1000=FV45)*ISNUMBER(SEARCH("selection",LOWER(Z$2:Z$1000)))*ISNUMBER(SEARCH("model",LOWER(AA$2:AA$1000))))</f>
        <v>0</v>
      </c>
      <c r="GO45" cm="1">
        <f t="array" ref="GO45">SUMPRODUCT((Y$2:Y$1000="PS")*(F$2:F$1000=FV45)*ISNUMBER(SEARCH("selection",LOWER(Z$2:Z$1000)))*ISNUMBER(SEARCH("hystory",LOWER(AA$2:AA$1000))))</f>
        <v>0</v>
      </c>
      <c r="GP45" cm="1">
        <f t="array" ref="GP45">SUMPRODUCT((Y$2:Y$1000="PS")*(F$2:F$1000=FV45)*ISNUMBER(SEARCH("selection",LOWER(Z$2:Z$1000)))*ISNUMBER(SEARCH("cost-aware",LOWER(AA$2:AA$1000))))</f>
        <v>0</v>
      </c>
      <c r="GQ45" cm="1">
        <f t="array" ref="GQ45">SUMPRODUCT((Y$2:Y$1000="PS")*(F$2:F$1000=FV45)*ISNUMBER(SEARCH("selection",LOWER(Z$2:Z$1000)))*ISNUMBER(SEARCH("similarity",LOWER(AA$2:AA$1000))))</f>
        <v>0</v>
      </c>
      <c r="GR45" s="35" cm="1">
        <f t="array" ref="GR45">SUMPRODUCT((Y$2:Y$1000="PS")*(F$2:F$1000=FV45)*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5">
        <v>2021</v>
      </c>
      <c r="HA45" cm="1">
        <f t="array" ref="HA45">SUMPRODUCT((Y$2:Y$1000="PS")*(F$2:F$1000=GZ45)*ISNUMBER(SEARCH("minimization",LOWER(Z$2:Z$1000)))*ISNUMBER(SEARCH(LOWER(HA$36),LOWER(AB$2:AB$1000))))</f>
        <v>0</v>
      </c>
      <c r="HB45" cm="1">
        <f t="array" ref="HB45">SUMPRODUCT((Y$2:Y$1000="PS")*(F$2:F$1000=GZ45)*ISNUMBER(SEARCH("minimization",LOWER(Z$2:Z$1000)))*ISNUMBER(SEARCH(LOWER(HB$36),LOWER(AB$2:AB$1000))))</f>
        <v>0</v>
      </c>
      <c r="HC45" cm="1">
        <f t="array" ref="HC45">SUMPRODUCT((Y$2:Y$1000="PS")*(F$2:F$1000=GZ45)*ISNUMBER(SEARCH("minimization",LOWER(Z$2:Z$1000)))*ISNUMBER(SEARCH(LOWER(HC$36),LOWER(AB$2:AB$1000))))</f>
        <v>0</v>
      </c>
      <c r="HD45" cm="1">
        <f t="array" ref="HD45">SUMPRODUCT((Y$2:Y$1000="PS")*(F$2:F$1000=GZ45)*ISNUMBER(SEARCH("minimization",LOWER(Z$2:Z$1000)))*ISNUMBER(SEARCH(LOWER(HD$36),LOWER(AB$2:AB$1000))))</f>
        <v>0</v>
      </c>
      <c r="HE45" cm="1">
        <f t="array" ref="HE45">SUMPRODUCT((Y$2:Y$1000="PS")*(F$2:F$1000=GZ45)*ISNUMBER(SEARCH("minimization",LOWER(Z$2:Z$1000)))*ISNUMBER(SEARCH(LOWER(HE$36),LOWER(AB$2:AB$1000))))</f>
        <v>0</v>
      </c>
      <c r="HF45" cm="1">
        <f t="array" ref="HF45">SUMPRODUCT((Y$2:Y$1000="PS")*(F$2:F$1000=GZ45)*ISNUMBER(SEARCH("minimization",LOWER(Z$2:Z$1000)))*ISNUMBER(SEARCH(LOWER(HF$36),LOWER(AB$2:AB$1000))))</f>
        <v>0</v>
      </c>
      <c r="HG45" cm="1">
        <f t="array" ref="HG45">SUMPRODUCT((Y$2:Y$1000="PS")*(F$2:F$1000=GZ45)*ISNUMBER(SEARCH("minimization",LOWER(Z$2:Z$1000)))*ISNUMBER(SEARCH(LOWER(HG$36),LOWER(AB$2:AB$1000))))</f>
        <v>0</v>
      </c>
      <c r="HH45" cm="1">
        <f t="array" ref="HH45">SUMPRODUCT((Y$2:Y$1000="PS")*(F$2:F$1000=GZ45)*ISNUMBER(SEARCH("minimization",LOWER(Z$2:Z$1000)))*ISNUMBER(SEARCH(LOWER(HH$36),LOWER(AB$2:AB$1000))))</f>
        <v>0</v>
      </c>
      <c r="HI45" cm="1">
        <f t="array" ref="HI45">SUMPRODUCT((Y$2:Y$1000="PS")*(F$2:F$1000=GZ45)*ISNUMBER(SEARCH("minimization",LOWER(Z$2:Z$1000)))*ISNUMBER(SEARCH(LOWER(HI$36),LOWER(AB$2:AB$1000))))</f>
        <v>0</v>
      </c>
      <c r="HJ45" cm="1">
        <f t="array" ref="HJ45">SUMPRODUCT((Y$2:Y$1000="PS")*(F$2:F$1000=GZ45)*ISNUMBER(SEARCH("minimization",LOWER(Z$2:Z$1000)))*ISNUMBER(SEARCH(LOWER(HJ$36),LOWER(AB$2:AB$1000))))</f>
        <v>0</v>
      </c>
      <c r="HK45" cm="1">
        <f t="array" ref="HK45">SUMPRODUCT((Y$2:Y$1000="PS")*(F$2:F$1000=GZ45)*ISNUMBER(SEARCH("minimization",LOWER(Z$2:Z$1000)))*ISNUMBER(SEARCH(LOWER(HK$36),LOWER(AB$2:AB$1000))))</f>
        <v>0</v>
      </c>
      <c r="HL45" cm="1">
        <f t="array" ref="HL45">SUMPRODUCT((Y$2:Y$1000="PS")*(F$2:F$1000=GZ45)*ISNUMBER(SEARCH("minimization",LOWER(Z$2:Z$1000)))*ISNUMBER(SEARCH(LOWER(HL$36),LOWER(AB$2:AB$1000))))</f>
        <v>0</v>
      </c>
      <c r="HM45" cm="1">
        <f t="array" ref="HM45">SUMPRODUCT((Y$2:Y$1000="PS")*(F$2:F$1000=GZ45)*ISNUMBER(SEARCH("minimization",LOWER(Z$2:Z$1000)))*ISNUMBER(SEARCH(LOWER(HM$36),LOWER(AB$2:AB$1000))))</f>
        <v>0</v>
      </c>
    </row>
    <row r="46" spans="1:221" ht="57.6">
      <c r="C46" t="s">
        <v>556</v>
      </c>
      <c r="D46" t="s">
        <v>557</v>
      </c>
      <c r="E46" t="s">
        <v>558</v>
      </c>
      <c r="F46">
        <v>2021</v>
      </c>
      <c r="J46" t="s">
        <v>559</v>
      </c>
      <c r="Y46" t="s">
        <v>77</v>
      </c>
      <c r="Z46" s="6" t="s">
        <v>560</v>
      </c>
      <c r="AA46" s="17"/>
      <c r="AB46" s="17"/>
      <c r="AC46" s="17"/>
      <c r="AD46" s="17"/>
      <c r="AE46" s="17"/>
      <c r="AF46" s="17"/>
      <c r="AG46" s="17"/>
      <c r="AH46" s="17"/>
      <c r="AK46">
        <f t="shared" si="5"/>
        <v>0</v>
      </c>
      <c r="AL46">
        <f t="shared" si="0"/>
        <v>0</v>
      </c>
      <c r="AM46">
        <f t="shared" si="1"/>
        <v>0</v>
      </c>
      <c r="AN46">
        <f t="shared" si="2"/>
        <v>0</v>
      </c>
      <c r="FQ46" t="s">
        <v>1277</v>
      </c>
      <c r="FR46" s="35" cm="1">
        <f t="array" ref="FR46">SUMPRODUCT((Y$2:Y$1000="PS")*ISNUMBER(SEARCH(LOWER(FQ46),LOWER(AA$2:AA$1000)))*ISNUMBER(SEARCH("selection",LOWER(Z$2:Z$1000))))</f>
        <v>0</v>
      </c>
      <c r="FV46">
        <v>2022</v>
      </c>
      <c r="FW46" s="35" cm="1">
        <f t="array" ref="FW46">SUMPRODUCT((Y$2:Y$1000="PS")*(F$2:F$1000=FV46)*ISNUMBER(SEARCH("selection",LOWER(Z$2:Z$1000)))*ISNUMBER(SEARCH("integer",LOWER(AA$2:AA$1000))))</f>
        <v>0</v>
      </c>
      <c r="FX46" cm="1">
        <f t="array" ref="FX46">SUMPRODUCT((Y$2:Y$1000="PS")*(F$2:F$1000=FV46)*ISNUMBER(SEARCH("selection",LOWER(Z$2:Z$1000)))*ISNUMBER(SEARCH("data-flow",LOWER(AA$2:AA$1000))))</f>
        <v>0</v>
      </c>
      <c r="FY46" cm="1">
        <f t="array" ref="FY46">SUMPRODUCT((Y$2:Y$1000="PS")*(F$2:F$1000=FV46)*ISNUMBER(SEARCH("selection",LOWER(Z$2:Z$1000)))*ISNUMBER(SEARCH("symbolic",LOWER(AA$2:AA$1000))))</f>
        <v>0</v>
      </c>
      <c r="FZ46" cm="1">
        <f t="array" ref="FZ46">SUMPRODUCT((Y$2:Y$1000="PS")*(F$2:F$1000=FV46)*ISNUMBER(SEARCH("selection",LOWER(Z$2:Z$1000)))*ISNUMBER(SEARCH("dynamyc",LOWER(AA$2:AA$1000))))</f>
        <v>0</v>
      </c>
      <c r="GA46" cm="1">
        <f t="array" ref="GA46">SUMPRODUCT((Y$2:Y$1000="PS")*(F$2:F$1000=FV46)*ISNUMBER(SEARCH("selection",LOWER(Z$2:Z$1000)))*ISNUMBER(SEARCH("graph",LOWER(AA$2:AA$1000))))</f>
        <v>0</v>
      </c>
      <c r="GB46" cm="1">
        <f t="array" ref="GB46">SUMPRODUCT((Y$2:Y$1000="PS")*(F$2:F$1000=FV46)*ISNUMBER(SEARCH("selection",LOWER(Z$2:Z$1000)))*ISNUMBER(SEARCH("textual",LOWER(AA$2:AA$1000))))</f>
        <v>0</v>
      </c>
      <c r="GC46" cm="1">
        <f t="array" ref="GC46">SUMPRODUCT((Y$2:Y$1000="PS")*(F$2:F$1000=FV46)*ISNUMBER(SEARCH("selection",LOWER(Z$2:Z$1000)))*ISNUMBER(SEARCH("sdg",LOWER(AA$2:AA$1000))))</f>
        <v>0</v>
      </c>
      <c r="GD46" cm="1">
        <f t="array" ref="GD46">SUMPRODUCT((Y$2:Y$1000="PS")*(F$2:F$1000=FV46)*ISNUMBER(SEARCH("selection",LOWER(Z$2:Z$1000)))*ISNUMBER(SEARCH("path",LOWER(AA$2:AA$1000))))</f>
        <v>0</v>
      </c>
      <c r="GE46" cm="1">
        <f t="array" ref="GE46">SUMPRODUCT((Y$2:Y$1000="PS")*(F$2:F$1000=FV46)*ISNUMBER(SEARCH("selection",LOWER(Z$2:Z$1000)))*ISNUMBER(SEARCH("mod",LOWER(AA$2:AA$1000))))</f>
        <v>1</v>
      </c>
      <c r="GF46" cm="1">
        <f t="array" ref="GF46">SUMPRODUCT((Y$2:Y$1000="PS")*(F$2:F$1000=FV46)*ISNUMBER(SEARCH("selection",LOWER(Z$2:Z$1000)))*ISNUMBER(SEARCH("firewall",LOWER(AA$2:AA$1000))))</f>
        <v>0</v>
      </c>
      <c r="GG46" cm="1">
        <f t="array" ref="GG46">SUMPRODUCT((Y$2:Y$1000="PS")*(F$2:F$1000=FV46)*ISNUMBER(SEARCH("selection",LOWER(Z$2:Z$1000)))*ISNUMBER(SEARCH("cluster",LOWER(AA$2:AA$1000))))</f>
        <v>0</v>
      </c>
      <c r="GH46" cm="1">
        <f t="array" ref="GH46">SUMPRODUCT((Y$2:Y$1000="PS")*(F$2:F$1000=FV46)*ISNUMBER(SEARCH("selection",LOWER(Z$2:Z$1000)))*ISNUMBER(SEARCH("design",LOWER(AA$2:AA$1000))))</f>
        <v>0</v>
      </c>
      <c r="GI46" cm="1">
        <f t="array" ref="GI46">SUMPRODUCT((Y$2:Y$1000="PS")*(F$2:F$1000=FV46)*ISNUMBER(SEARCH("selection",LOWER(Z$2:Z$1000)))*ISNUMBER(SEARCH("hybrid",LOWER(AA$2:AA$1000))))</f>
        <v>0</v>
      </c>
      <c r="GJ46" cm="1">
        <f t="array" ref="GJ46">SUMPRODUCT((Y$2:Y$1000="PS")*(F$2:F$1000=FV46)*ISNUMBER(SEARCH("selection",LOWER(Z$2:Z$1000)))*ISNUMBER(SEARCH("selection",LOWER(AA$2:AA$1000))))</f>
        <v>0</v>
      </c>
      <c r="GK46" cm="1">
        <f t="array" ref="GK46">SUMPRODUCT((Y$2:Y$1000="PS")*(F$2:F$1000=FV46)*ISNUMBER(SEARCH("selection",LOWER(Z$2:Z$1000)))*ISNUMBER(SEARCH("detection",LOWER(AA$2:AA$1000))))</f>
        <v>0</v>
      </c>
      <c r="GL46" cm="1">
        <f t="array" ref="GL46">SUMPRODUCT((Y$2:Y$1000="PS")*(F$2:F$1000=FV46)*ISNUMBER(SEARCH("selection",LOWER(Z$2:Z$1000)))*ISNUMBER(SEARCH("coverage",LOWER(AA$2:AA$1000))))</f>
        <v>0</v>
      </c>
      <c r="GM46" cm="1">
        <f t="array" ref="GM46">SUMPRODUCT((Y$2:Y$1000="PS")*(F$2:F$1000=FV46)*ISNUMBER(SEARCH("selection",LOWER(Z$2:Z$1000)))*ISNUMBER(SEARCH("change",LOWER(AA$2:AA$1000))))</f>
        <v>0</v>
      </c>
      <c r="GN46" cm="1">
        <f t="array" ref="GN46">SUMPRODUCT((Y$2:Y$1000="PS")*(F$2:F$1000=FV46)*ISNUMBER(SEARCH("selection",LOWER(Z$2:Z$1000)))*ISNUMBER(SEARCH("model",LOWER(AA$2:AA$1000))))</f>
        <v>0</v>
      </c>
      <c r="GO46" cm="1">
        <f t="array" ref="GO46">SUMPRODUCT((Y$2:Y$1000="PS")*(F$2:F$1000=FV46)*ISNUMBER(SEARCH("selection",LOWER(Z$2:Z$1000)))*ISNUMBER(SEARCH("hystory",LOWER(AA$2:AA$1000))))</f>
        <v>0</v>
      </c>
      <c r="GP46" cm="1">
        <f t="array" ref="GP46">SUMPRODUCT((Y$2:Y$1000="PS")*(F$2:F$1000=FV46)*ISNUMBER(SEARCH("selection",LOWER(Z$2:Z$1000)))*ISNUMBER(SEARCH("cost-aware",LOWER(AA$2:AA$1000))))</f>
        <v>0</v>
      </c>
      <c r="GQ46" cm="1">
        <f t="array" ref="GQ46">SUMPRODUCT((Y$2:Y$1000="PS")*(F$2:F$1000=FV46)*ISNUMBER(SEARCH("selection",LOWER(Z$2:Z$1000)))*ISNUMBER(SEARCH("similarity",LOWER(AA$2:AA$1000))))</f>
        <v>0</v>
      </c>
      <c r="GR46" s="35" cm="1">
        <f t="array" ref="GR46">SUMPRODUCT((Y$2:Y$1000="PS")*(F$2:F$1000=FV46)*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6">
        <v>2022</v>
      </c>
      <c r="HA46" cm="1">
        <f t="array" ref="HA46">SUMPRODUCT((Y$2:Y$1000="PS")*(F$2:F$1000=GZ46)*ISNUMBER(SEARCH("minimization",LOWER(Z$2:Z$1000)))*ISNUMBER(SEARCH(LOWER(HA$36),LOWER(AB$2:AB$1000))))</f>
        <v>0</v>
      </c>
      <c r="HB46" cm="1">
        <f t="array" ref="HB46">SUMPRODUCT((Y$2:Y$1000="PS")*(F$2:F$1000=GZ46)*ISNUMBER(SEARCH("minimization",LOWER(Z$2:Z$1000)))*ISNUMBER(SEARCH(LOWER(HB$36),LOWER(AB$2:AB$1000))))</f>
        <v>0</v>
      </c>
      <c r="HC46" cm="1">
        <f t="array" ref="HC46">SUMPRODUCT((Y$2:Y$1000="PS")*(F$2:F$1000=GZ46)*ISNUMBER(SEARCH("minimization",LOWER(Z$2:Z$1000)))*ISNUMBER(SEARCH(LOWER(HC$36),LOWER(AB$2:AB$1000))))</f>
        <v>1</v>
      </c>
      <c r="HD46" cm="1">
        <f t="array" ref="HD46">SUMPRODUCT((Y$2:Y$1000="PS")*(F$2:F$1000=GZ46)*ISNUMBER(SEARCH("minimization",LOWER(Z$2:Z$1000)))*ISNUMBER(SEARCH(LOWER(HD$36),LOWER(AB$2:AB$1000))))</f>
        <v>0</v>
      </c>
      <c r="HE46" cm="1">
        <f t="array" ref="HE46">SUMPRODUCT((Y$2:Y$1000="PS")*(F$2:F$1000=GZ46)*ISNUMBER(SEARCH("minimization",LOWER(Z$2:Z$1000)))*ISNUMBER(SEARCH(LOWER(HE$36),LOWER(AB$2:AB$1000))))</f>
        <v>0</v>
      </c>
      <c r="HF46" cm="1">
        <f t="array" ref="HF46">SUMPRODUCT((Y$2:Y$1000="PS")*(F$2:F$1000=GZ46)*ISNUMBER(SEARCH("minimization",LOWER(Z$2:Z$1000)))*ISNUMBER(SEARCH(LOWER(HF$36),LOWER(AB$2:AB$1000))))</f>
        <v>0</v>
      </c>
      <c r="HG46" cm="1">
        <f t="array" ref="HG46">SUMPRODUCT((Y$2:Y$1000="PS")*(F$2:F$1000=GZ46)*ISNUMBER(SEARCH("minimization",LOWER(Z$2:Z$1000)))*ISNUMBER(SEARCH(LOWER(HG$36),LOWER(AB$2:AB$1000))))</f>
        <v>0</v>
      </c>
      <c r="HH46" cm="1">
        <f t="array" ref="HH46">SUMPRODUCT((Y$2:Y$1000="PS")*(F$2:F$1000=GZ46)*ISNUMBER(SEARCH("minimization",LOWER(Z$2:Z$1000)))*ISNUMBER(SEARCH(LOWER(HH$36),LOWER(AB$2:AB$1000))))</f>
        <v>0</v>
      </c>
      <c r="HI46" cm="1">
        <f t="array" ref="HI46">SUMPRODUCT((Y$2:Y$1000="PS")*(F$2:F$1000=GZ46)*ISNUMBER(SEARCH("minimization",LOWER(Z$2:Z$1000)))*ISNUMBER(SEARCH(LOWER(HI$36),LOWER(AB$2:AB$1000))))</f>
        <v>0</v>
      </c>
      <c r="HJ46" cm="1">
        <f t="array" ref="HJ46">SUMPRODUCT((Y$2:Y$1000="PS")*(F$2:F$1000=GZ46)*ISNUMBER(SEARCH("minimization",LOWER(Z$2:Z$1000)))*ISNUMBER(SEARCH(LOWER(HJ$36),LOWER(AB$2:AB$1000))))</f>
        <v>0</v>
      </c>
      <c r="HK46" cm="1">
        <f t="array" ref="HK46">SUMPRODUCT((Y$2:Y$1000="PS")*(F$2:F$1000=GZ46)*ISNUMBER(SEARCH("minimization",LOWER(Z$2:Z$1000)))*ISNUMBER(SEARCH(LOWER(HK$36),LOWER(AB$2:AB$1000))))</f>
        <v>0</v>
      </c>
      <c r="HL46" cm="1">
        <f t="array" ref="HL46">SUMPRODUCT((Y$2:Y$1000="PS")*(F$2:F$1000=GZ46)*ISNUMBER(SEARCH("minimization",LOWER(Z$2:Z$1000)))*ISNUMBER(SEARCH(LOWER(HL$36),LOWER(AB$2:AB$1000))))</f>
        <v>0</v>
      </c>
      <c r="HM46" cm="1">
        <f t="array" ref="HM46">SUMPRODUCT((Y$2:Y$1000="PS")*(F$2:F$1000=GZ46)*ISNUMBER(SEARCH("minimization",LOWER(Z$2:Z$1000)))*ISNUMBER(SEARCH(LOWER(HM$36),LOWER(AB$2:AB$1000))))</f>
        <v>0</v>
      </c>
    </row>
    <row r="47" spans="1:221" ht="57.6">
      <c r="C47" t="s">
        <v>561</v>
      </c>
      <c r="D47" t="s">
        <v>562</v>
      </c>
      <c r="E47" t="s">
        <v>563</v>
      </c>
      <c r="F47">
        <v>2021</v>
      </c>
      <c r="J47" t="s">
        <v>564</v>
      </c>
      <c r="Y47" t="s">
        <v>44</v>
      </c>
      <c r="Z47" s="6" t="s">
        <v>560</v>
      </c>
      <c r="AA47" s="17"/>
      <c r="AB47" s="17"/>
      <c r="AC47" s="17"/>
      <c r="AD47" s="17"/>
      <c r="AE47" s="17"/>
      <c r="AF47" s="17"/>
      <c r="AG47" s="17"/>
      <c r="AH47" s="17"/>
      <c r="AK47">
        <f t="shared" si="5"/>
        <v>0</v>
      </c>
      <c r="AL47">
        <f t="shared" si="0"/>
        <v>0</v>
      </c>
      <c r="AM47">
        <f t="shared" si="1"/>
        <v>0</v>
      </c>
      <c r="AN47">
        <f t="shared" si="2"/>
        <v>0</v>
      </c>
      <c r="FQ47" t="s">
        <v>1301</v>
      </c>
      <c r="FR47" s="35" cm="1">
        <f t="array" ref="FR47">SUMPRODUCT((Y$2:Y$1000="PS")*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3</v>
      </c>
      <c r="FV47">
        <v>2023</v>
      </c>
      <c r="FW47" s="35" cm="1">
        <f t="array" ref="FW47">SUMPRODUCT((Y$2:Y$1000="PS")*(F$2:F$1000=FV47)*ISNUMBER(SEARCH("selection",LOWER(Z$2:Z$1000)))*ISNUMBER(SEARCH("integer",LOWER(AA$2:AA$1000))))</f>
        <v>1</v>
      </c>
      <c r="FX47" cm="1">
        <f t="array" ref="FX47">SUMPRODUCT((Y$2:Y$1000="PS")*(F$2:F$1000=FV47)*ISNUMBER(SEARCH("selection",LOWER(Z$2:Z$1000)))*ISNUMBER(SEARCH("data-flow",LOWER(AA$2:AA$1000))))</f>
        <v>0</v>
      </c>
      <c r="FY47" cm="1">
        <f t="array" ref="FY47">SUMPRODUCT((Y$2:Y$1000="PS")*(F$2:F$1000=FV47)*ISNUMBER(SEARCH("selection",LOWER(Z$2:Z$1000)))*ISNUMBER(SEARCH("symbolic",LOWER(AA$2:AA$1000))))</f>
        <v>0</v>
      </c>
      <c r="FZ47" cm="1">
        <f t="array" ref="FZ47">SUMPRODUCT((Y$2:Y$1000="PS")*(F$2:F$1000=FV47)*ISNUMBER(SEARCH("selection",LOWER(Z$2:Z$1000)))*ISNUMBER(SEARCH("dynamyc",LOWER(AA$2:AA$1000))))</f>
        <v>0</v>
      </c>
      <c r="GA47" cm="1">
        <f t="array" ref="GA47">SUMPRODUCT((Y$2:Y$1000="PS")*(F$2:F$1000=FV47)*ISNUMBER(SEARCH("selection",LOWER(Z$2:Z$1000)))*ISNUMBER(SEARCH("graph",LOWER(AA$2:AA$1000))))</f>
        <v>0</v>
      </c>
      <c r="GB47" cm="1">
        <f t="array" ref="GB47">SUMPRODUCT((Y$2:Y$1000="PS")*(F$2:F$1000=FV47)*ISNUMBER(SEARCH("selection",LOWER(Z$2:Z$1000)))*ISNUMBER(SEARCH("textual",LOWER(AA$2:AA$1000))))</f>
        <v>0</v>
      </c>
      <c r="GC47" cm="1">
        <f t="array" ref="GC47">SUMPRODUCT((Y$2:Y$1000="PS")*(F$2:F$1000=FV47)*ISNUMBER(SEARCH("selection",LOWER(Z$2:Z$1000)))*ISNUMBER(SEARCH("sdg",LOWER(AA$2:AA$1000))))</f>
        <v>0</v>
      </c>
      <c r="GD47" cm="1">
        <f t="array" ref="GD47">SUMPRODUCT((Y$2:Y$1000="PS")*(F$2:F$1000=FV47)*ISNUMBER(SEARCH("selection",LOWER(Z$2:Z$1000)))*ISNUMBER(SEARCH("path",LOWER(AA$2:AA$1000))))</f>
        <v>0</v>
      </c>
      <c r="GE47" cm="1">
        <f t="array" ref="GE47">SUMPRODUCT((Y$2:Y$1000="PS")*(F$2:F$1000=FV47)*ISNUMBER(SEARCH("selection",LOWER(Z$2:Z$1000)))*ISNUMBER(SEARCH("mod",LOWER(AA$2:AA$1000))))</f>
        <v>0</v>
      </c>
      <c r="GF47" cm="1">
        <f t="array" ref="GF47">SUMPRODUCT((Y$2:Y$1000="PS")*(F$2:F$1000=FV47)*ISNUMBER(SEARCH("selection",LOWER(Z$2:Z$1000)))*ISNUMBER(SEARCH("firewall",LOWER(AA$2:AA$1000))))</f>
        <v>0</v>
      </c>
      <c r="GG47" cm="1">
        <f t="array" ref="GG47">SUMPRODUCT((Y$2:Y$1000="PS")*(F$2:F$1000=FV47)*ISNUMBER(SEARCH("selection",LOWER(Z$2:Z$1000)))*ISNUMBER(SEARCH("cluster",LOWER(AA$2:AA$1000))))</f>
        <v>0</v>
      </c>
      <c r="GH47" cm="1">
        <f t="array" ref="GH47">SUMPRODUCT((Y$2:Y$1000="PS")*(F$2:F$1000=FV47)*ISNUMBER(SEARCH("selection",LOWER(Z$2:Z$1000)))*ISNUMBER(SEARCH("design",LOWER(AA$2:AA$1000))))</f>
        <v>0</v>
      </c>
      <c r="GI47" cm="1">
        <f t="array" ref="GI47">SUMPRODUCT((Y$2:Y$1000="PS")*(F$2:F$1000=FV47)*ISNUMBER(SEARCH("selection",LOWER(Z$2:Z$1000)))*ISNUMBER(SEARCH("hybrid",LOWER(AA$2:AA$1000))))</f>
        <v>0</v>
      </c>
      <c r="GJ47" cm="1">
        <f t="array" ref="GJ47">SUMPRODUCT((Y$2:Y$1000="PS")*(F$2:F$1000=FV47)*ISNUMBER(SEARCH("selection",LOWER(Z$2:Z$1000)))*ISNUMBER(SEARCH("selection",LOWER(AA$2:AA$1000))))</f>
        <v>0</v>
      </c>
      <c r="GK47" cm="1">
        <f t="array" ref="GK47">SUMPRODUCT((Y$2:Y$1000="PS")*(F$2:F$1000=FV47)*ISNUMBER(SEARCH("selection",LOWER(Z$2:Z$1000)))*ISNUMBER(SEARCH("detection",LOWER(AA$2:AA$1000))))</f>
        <v>0</v>
      </c>
      <c r="GL47" cm="1">
        <f t="array" ref="GL47">SUMPRODUCT((Y$2:Y$1000="PS")*(F$2:F$1000=FV47)*ISNUMBER(SEARCH("selection",LOWER(Z$2:Z$1000)))*ISNUMBER(SEARCH("coverage",LOWER(AA$2:AA$1000))))</f>
        <v>0</v>
      </c>
      <c r="GM47" cm="1">
        <f t="array" ref="GM47">SUMPRODUCT((Y$2:Y$1000="PS")*(F$2:F$1000=FV47)*ISNUMBER(SEARCH("selection",LOWER(Z$2:Z$1000)))*ISNUMBER(SEARCH("change",LOWER(AA$2:AA$1000))))</f>
        <v>0</v>
      </c>
      <c r="GN47" cm="1">
        <f t="array" ref="GN47">SUMPRODUCT((Y$2:Y$1000="PS")*(F$2:F$1000=FV47)*ISNUMBER(SEARCH("selection",LOWER(Z$2:Z$1000)))*ISNUMBER(SEARCH("model",LOWER(AA$2:AA$1000))))</f>
        <v>0</v>
      </c>
      <c r="GO47" cm="1">
        <f t="array" ref="GO47">SUMPRODUCT((Y$2:Y$1000="PS")*(F$2:F$1000=FV47)*ISNUMBER(SEARCH("selection",LOWER(Z$2:Z$1000)))*ISNUMBER(SEARCH("hystory",LOWER(AA$2:AA$1000))))</f>
        <v>0</v>
      </c>
      <c r="GP47" cm="1">
        <f t="array" ref="GP47">SUMPRODUCT((Y$2:Y$1000="PS")*(F$2:F$1000=FV47)*ISNUMBER(SEARCH("selection",LOWER(Z$2:Z$1000)))*ISNUMBER(SEARCH("cost-aware",LOWER(AA$2:AA$1000))))</f>
        <v>0</v>
      </c>
      <c r="GQ47" cm="1">
        <f t="array" ref="GQ47">SUMPRODUCT((Y$2:Y$1000="PS")*(F$2:F$1000=FV47)*ISNUMBER(SEARCH("selection",LOWER(Z$2:Z$1000)))*ISNUMBER(SEARCH("similarity",LOWER(AA$2:AA$1000))))</f>
        <v>0</v>
      </c>
      <c r="GR47" s="35" cm="1">
        <f t="array" ref="GR47">SUMPRODUCT((Y$2:Y$1000="PS")*(F$2:F$1000=FV47)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7">
        <v>2023</v>
      </c>
      <c r="HA47" cm="1">
        <f t="array" ref="HA47">SUMPRODUCT((Y$2:Y$1000="PS")*(F$2:F$1000=GZ47)*ISNUMBER(SEARCH("minimization",LOWER(Z$2:Z$1000)))*ISNUMBER(SEARCH(LOWER(HA$36),LOWER(AB$2:AB$1000))))</f>
        <v>0</v>
      </c>
      <c r="HB47" cm="1">
        <f t="array" ref="HB47">SUMPRODUCT((Y$2:Y$1000="PS")*(F$2:F$1000=GZ47)*ISNUMBER(SEARCH("minimization",LOWER(Z$2:Z$1000)))*ISNUMBER(SEARCH(LOWER(HB$36),LOWER(AB$2:AB$1000))))</f>
        <v>0</v>
      </c>
      <c r="HC47" cm="1">
        <f t="array" ref="HC47">SUMPRODUCT((Y$2:Y$1000="PS")*(F$2:F$1000=GZ47)*ISNUMBER(SEARCH("minimization",LOWER(Z$2:Z$1000)))*ISNUMBER(SEARCH(LOWER(HC$36),LOWER(AB$2:AB$1000))))</f>
        <v>0</v>
      </c>
      <c r="HD47" cm="1">
        <f t="array" ref="HD47">SUMPRODUCT((Y$2:Y$1000="PS")*(F$2:F$1000=GZ47)*ISNUMBER(SEARCH("minimization",LOWER(Z$2:Z$1000)))*ISNUMBER(SEARCH(LOWER(HD$36),LOWER(AB$2:AB$1000))))</f>
        <v>0</v>
      </c>
      <c r="HE47" cm="1">
        <f t="array" ref="HE47">SUMPRODUCT((Y$2:Y$1000="PS")*(F$2:F$1000=GZ47)*ISNUMBER(SEARCH("minimization",LOWER(Z$2:Z$1000)))*ISNUMBER(SEARCH(LOWER(HE$36),LOWER(AB$2:AB$1000))))</f>
        <v>0</v>
      </c>
      <c r="HF47" cm="1">
        <f t="array" ref="HF47">SUMPRODUCT((Y$2:Y$1000="PS")*(F$2:F$1000=GZ47)*ISNUMBER(SEARCH("minimization",LOWER(Z$2:Z$1000)))*ISNUMBER(SEARCH(LOWER(HF$36),LOWER(AB$2:AB$1000))))</f>
        <v>0</v>
      </c>
      <c r="HG47" cm="1">
        <f t="array" ref="HG47">SUMPRODUCT((Y$2:Y$1000="PS")*(F$2:F$1000=GZ47)*ISNUMBER(SEARCH("minimization",LOWER(Z$2:Z$1000)))*ISNUMBER(SEARCH(LOWER(HG$36),LOWER(AB$2:AB$1000))))</f>
        <v>0</v>
      </c>
      <c r="HH47" cm="1">
        <f t="array" ref="HH47">SUMPRODUCT((Y$2:Y$1000="PS")*(F$2:F$1000=GZ47)*ISNUMBER(SEARCH("minimization",LOWER(Z$2:Z$1000)))*ISNUMBER(SEARCH(LOWER(HH$36),LOWER(AB$2:AB$1000))))</f>
        <v>0</v>
      </c>
      <c r="HI47" cm="1">
        <f t="array" ref="HI47">SUMPRODUCT((Y$2:Y$1000="PS")*(F$2:F$1000=GZ47)*ISNUMBER(SEARCH("minimization",LOWER(Z$2:Z$1000)))*ISNUMBER(SEARCH(LOWER(HI$36),LOWER(AB$2:AB$1000))))</f>
        <v>0</v>
      </c>
      <c r="HJ47" cm="1">
        <f t="array" ref="HJ47">SUMPRODUCT((Y$2:Y$1000="PS")*(F$2:F$1000=GZ47)*ISNUMBER(SEARCH("minimization",LOWER(Z$2:Z$1000)))*ISNUMBER(SEARCH(LOWER(HJ$36),LOWER(AB$2:AB$1000))))</f>
        <v>0</v>
      </c>
      <c r="HK47" cm="1">
        <f t="array" ref="HK47">SUMPRODUCT((Y$2:Y$1000="PS")*(F$2:F$1000=GZ47)*ISNUMBER(SEARCH("minimization",LOWER(Z$2:Z$1000)))*ISNUMBER(SEARCH(LOWER(HK$36),LOWER(AB$2:AB$1000))))</f>
        <v>0</v>
      </c>
      <c r="HL47" cm="1">
        <f t="array" ref="HL47">SUMPRODUCT((Y$2:Y$1000="PS")*(F$2:F$1000=GZ47)*ISNUMBER(SEARCH("minimization",LOWER(Z$2:Z$1000)))*ISNUMBER(SEARCH(LOWER(HL$36),LOWER(AB$2:AB$1000))))</f>
        <v>0</v>
      </c>
      <c r="HM47" cm="1">
        <f t="array" ref="HM47">SUMPRODUCT((Y$2:Y$1000="PS")*(F$2:F$1000=GZ47)*ISNUMBER(SEARCH("minimization",LOWER(Z$2:Z$1000)))*ISNUMBER(SEARCH(LOWER(HM$36),LOWER(AB$2:AB$1000))))</f>
        <v>0</v>
      </c>
    </row>
    <row r="48" spans="1:221" ht="129.6">
      <c r="C48" t="s">
        <v>565</v>
      </c>
      <c r="D48" t="s">
        <v>566</v>
      </c>
      <c r="E48" t="s">
        <v>567</v>
      </c>
      <c r="F48">
        <v>2024</v>
      </c>
      <c r="J48" t="s">
        <v>568</v>
      </c>
      <c r="Y48" t="s">
        <v>58</v>
      </c>
      <c r="Z48" s="6" t="s">
        <v>569</v>
      </c>
      <c r="AA48" s="7" t="s">
        <v>408</v>
      </c>
      <c r="AB48" s="7" t="s">
        <v>1383</v>
      </c>
      <c r="AC48" s="7"/>
      <c r="AD48" s="7" t="s">
        <v>570</v>
      </c>
      <c r="AE48" s="6" t="s">
        <v>571</v>
      </c>
      <c r="AF48" s="7" t="s">
        <v>572</v>
      </c>
      <c r="AG48" s="7" t="s">
        <v>573</v>
      </c>
      <c r="AH48" s="6">
        <v>0.5</v>
      </c>
      <c r="AK48">
        <f t="shared" si="5"/>
        <v>1</v>
      </c>
      <c r="AL48">
        <f t="shared" si="0"/>
        <v>0</v>
      </c>
      <c r="AM48">
        <f t="shared" si="1"/>
        <v>0</v>
      </c>
      <c r="AN48">
        <f t="shared" si="2"/>
        <v>1</v>
      </c>
      <c r="FV48">
        <v>2024</v>
      </c>
      <c r="FW48" s="35" cm="1">
        <f t="array" ref="FW48">SUMPRODUCT((Y$2:Y$1000="PS")*(F$2:F$1000=FV48)*ISNUMBER(SEARCH("selection",LOWER(Z$2:Z$1000)))*ISNUMBER(SEARCH("integer",LOWER(AA$2:AA$1000))))</f>
        <v>0</v>
      </c>
      <c r="FX48" cm="1">
        <f t="array" ref="FX48">SUMPRODUCT((Y$2:Y$1000="PS")*(F$2:F$1000=FV48)*ISNUMBER(SEARCH("selection",LOWER(Z$2:Z$1000)))*ISNUMBER(SEARCH("data-flow",LOWER(AA$2:AA$1000))))</f>
        <v>0</v>
      </c>
      <c r="FY48" cm="1">
        <f t="array" ref="FY48">SUMPRODUCT((Y$2:Y$1000="PS")*(F$2:F$1000=FV48)*ISNUMBER(SEARCH("selection",LOWER(Z$2:Z$1000)))*ISNUMBER(SEARCH("symbolic",LOWER(AA$2:AA$1000))))</f>
        <v>0</v>
      </c>
      <c r="FZ48" cm="1">
        <f t="array" ref="FZ48">SUMPRODUCT((Y$2:Y$1000="PS")*(F$2:F$1000=FV48)*ISNUMBER(SEARCH("selection",LOWER(Z$2:Z$1000)))*ISNUMBER(SEARCH("dynamyc",LOWER(AA$2:AA$1000))))</f>
        <v>0</v>
      </c>
      <c r="GA48" cm="1">
        <f t="array" ref="GA48">SUMPRODUCT((Y$2:Y$1000="PS")*(F$2:F$1000=FV48)*ISNUMBER(SEARCH("selection",LOWER(Z$2:Z$1000)))*ISNUMBER(SEARCH("graph",LOWER(AA$2:AA$1000))))</f>
        <v>1</v>
      </c>
      <c r="GB48" cm="1">
        <f t="array" ref="GB48">SUMPRODUCT((Y$2:Y$1000="PS")*(F$2:F$1000=FV48)*ISNUMBER(SEARCH("selection",LOWER(Z$2:Z$1000)))*ISNUMBER(SEARCH("textual",LOWER(AA$2:AA$1000))))</f>
        <v>0</v>
      </c>
      <c r="GC48" cm="1">
        <f t="array" ref="GC48">SUMPRODUCT((Y$2:Y$1000="PS")*(F$2:F$1000=FV48)*ISNUMBER(SEARCH("selection",LOWER(Z$2:Z$1000)))*ISNUMBER(SEARCH("sdg",LOWER(AA$2:AA$1000))))</f>
        <v>0</v>
      </c>
      <c r="GD48" cm="1">
        <f t="array" ref="GD48">SUMPRODUCT((Y$2:Y$1000="PS")*(F$2:F$1000=FV48)*ISNUMBER(SEARCH("selection",LOWER(Z$2:Z$1000)))*ISNUMBER(SEARCH("path",LOWER(AA$2:AA$1000))))</f>
        <v>0</v>
      </c>
      <c r="GE48" cm="1">
        <f t="array" ref="GE48">SUMPRODUCT((Y$2:Y$1000="PS")*(F$2:F$1000=FV48)*ISNUMBER(SEARCH("selection",LOWER(Z$2:Z$1000)))*ISNUMBER(SEARCH("mod",LOWER(AA$2:AA$1000))))</f>
        <v>0</v>
      </c>
      <c r="GF48" cm="1">
        <f t="array" ref="GF48">SUMPRODUCT((Y$2:Y$1000="PS")*(F$2:F$1000=FV48)*ISNUMBER(SEARCH("selection",LOWER(Z$2:Z$1000)))*ISNUMBER(SEARCH("firewall",LOWER(AA$2:AA$1000))))</f>
        <v>0</v>
      </c>
      <c r="GG48" cm="1">
        <f t="array" ref="GG48">SUMPRODUCT((Y$2:Y$1000="PS")*(F$2:F$1000=FV48)*ISNUMBER(SEARCH("selection",LOWER(Z$2:Z$1000)))*ISNUMBER(SEARCH("cluster",LOWER(AA$2:AA$1000))))</f>
        <v>0</v>
      </c>
      <c r="GH48" cm="1">
        <f t="array" ref="GH48">SUMPRODUCT((Y$2:Y$1000="PS")*(F$2:F$1000=FV48)*ISNUMBER(SEARCH("selection",LOWER(Z$2:Z$1000)))*ISNUMBER(SEARCH("design",LOWER(AA$2:AA$1000))))</f>
        <v>0</v>
      </c>
      <c r="GI48" cm="1">
        <f t="array" ref="GI48">SUMPRODUCT((Y$2:Y$1000="PS")*(F$2:F$1000=FV48)*ISNUMBER(SEARCH("selection",LOWER(Z$2:Z$1000)))*ISNUMBER(SEARCH("hybrid",LOWER(AA$2:AA$1000))))</f>
        <v>0</v>
      </c>
      <c r="GJ48" cm="1">
        <f t="array" ref="GJ48">SUMPRODUCT((Y$2:Y$1000="PS")*(F$2:F$1000=FV48)*ISNUMBER(SEARCH("selection",LOWER(Z$2:Z$1000)))*ISNUMBER(SEARCH("selection",LOWER(AA$2:AA$1000))))</f>
        <v>0</v>
      </c>
      <c r="GK48" cm="1">
        <f t="array" ref="GK48">SUMPRODUCT((Y$2:Y$1000="PS")*(F$2:F$1000=FV48)*ISNUMBER(SEARCH("selection",LOWER(Z$2:Z$1000)))*ISNUMBER(SEARCH("detection",LOWER(AA$2:AA$1000))))</f>
        <v>0</v>
      </c>
      <c r="GL48" cm="1">
        <f t="array" ref="GL48">SUMPRODUCT((Y$2:Y$1000="PS")*(F$2:F$1000=FV48)*ISNUMBER(SEARCH("selection",LOWER(Z$2:Z$1000)))*ISNUMBER(SEARCH("coverage",LOWER(AA$2:AA$1000))))</f>
        <v>0</v>
      </c>
      <c r="GM48" cm="1">
        <f t="array" ref="GM48">SUMPRODUCT((Y$2:Y$1000="PS")*(F$2:F$1000=FV48)*ISNUMBER(SEARCH("selection",LOWER(Z$2:Z$1000)))*ISNUMBER(SEARCH("change",LOWER(AA$2:AA$1000))))</f>
        <v>0</v>
      </c>
      <c r="GN48" cm="1">
        <f t="array" ref="GN48">SUMPRODUCT((Y$2:Y$1000="PS")*(F$2:F$1000=FV48)*ISNUMBER(SEARCH("selection",LOWER(Z$2:Z$1000)))*ISNUMBER(SEARCH("model",LOWER(AA$2:AA$1000))))</f>
        <v>0</v>
      </c>
      <c r="GO48" cm="1">
        <f t="array" ref="GO48">SUMPRODUCT((Y$2:Y$1000="PS")*(F$2:F$1000=FV48)*ISNUMBER(SEARCH("selection",LOWER(Z$2:Z$1000)))*ISNUMBER(SEARCH("hystory",LOWER(AA$2:AA$1000))))</f>
        <v>0</v>
      </c>
      <c r="GP48" cm="1">
        <f t="array" ref="GP48">SUMPRODUCT((Y$2:Y$1000="PS")*(F$2:F$1000=FV48)*ISNUMBER(SEARCH("selection",LOWER(Z$2:Z$1000)))*ISNUMBER(SEARCH("cost-aware",LOWER(AA$2:AA$1000))))</f>
        <v>0</v>
      </c>
      <c r="GQ48" cm="1">
        <f t="array" ref="GQ48">SUMPRODUCT((Y$2:Y$1000="PS")*(F$2:F$1000=FV48)*ISNUMBER(SEARCH("selection",LOWER(Z$2:Z$1000)))*ISNUMBER(SEARCH("similarity",LOWER(AA$2:AA$1000))))</f>
        <v>0</v>
      </c>
      <c r="GR48" s="35" cm="1">
        <f t="array" ref="GR48">SUMPRODUCT((Y$2:Y$1000="PS")*(F$2:F$1000=FV48)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8">
        <v>2024</v>
      </c>
      <c r="HA48" cm="1">
        <f t="array" ref="HA48">SUMPRODUCT((Y$2:Y$1000="PS")*(F$2:F$1000=GZ48)*ISNUMBER(SEARCH("minimization",LOWER(Z$2:Z$1000)))*ISNUMBER(SEARCH(LOWER(HA$36),LOWER(AB$2:AB$1000))))</f>
        <v>0</v>
      </c>
      <c r="HB48" cm="1">
        <f t="array" ref="HB48">SUMPRODUCT((Y$2:Y$1000="PS")*(F$2:F$1000=GZ48)*ISNUMBER(SEARCH("minimization",LOWER(Z$2:Z$1000)))*ISNUMBER(SEARCH(LOWER(HB$36),LOWER(AB$2:AB$1000))))</f>
        <v>0</v>
      </c>
      <c r="HC48" cm="1">
        <f t="array" ref="HC48">SUMPRODUCT((Y$2:Y$1000="PS")*(F$2:F$1000=GZ48)*ISNUMBER(SEARCH("minimization",LOWER(Z$2:Z$1000)))*ISNUMBER(SEARCH(LOWER(HC$36),LOWER(AB$2:AB$1000))))</f>
        <v>1</v>
      </c>
      <c r="HD48" cm="1">
        <f t="array" ref="HD48">SUMPRODUCT((Y$2:Y$1000="PS")*(F$2:F$1000=GZ48)*ISNUMBER(SEARCH("minimization",LOWER(Z$2:Z$1000)))*ISNUMBER(SEARCH(LOWER(HD$36),LOWER(AB$2:AB$1000))))</f>
        <v>0</v>
      </c>
      <c r="HE48" cm="1">
        <f t="array" ref="HE48">SUMPRODUCT((Y$2:Y$1000="PS")*(F$2:F$1000=GZ48)*ISNUMBER(SEARCH("minimization",LOWER(Z$2:Z$1000)))*ISNUMBER(SEARCH(LOWER(HE$36),LOWER(AB$2:AB$1000))))</f>
        <v>0</v>
      </c>
      <c r="HF48" cm="1">
        <f t="array" ref="HF48">SUMPRODUCT((Y$2:Y$1000="PS")*(F$2:F$1000=GZ48)*ISNUMBER(SEARCH("minimization",LOWER(Z$2:Z$1000)))*ISNUMBER(SEARCH(LOWER(HF$36),LOWER(AB$2:AB$1000))))</f>
        <v>0</v>
      </c>
      <c r="HG48" cm="1">
        <f t="array" ref="HG48">SUMPRODUCT((Y$2:Y$1000="PS")*(F$2:F$1000=GZ48)*ISNUMBER(SEARCH("minimization",LOWER(Z$2:Z$1000)))*ISNUMBER(SEARCH(LOWER(HG$36),LOWER(AB$2:AB$1000))))</f>
        <v>0</v>
      </c>
      <c r="HH48" cm="1">
        <f t="array" ref="HH48">SUMPRODUCT((Y$2:Y$1000="PS")*(F$2:F$1000=GZ48)*ISNUMBER(SEARCH("minimization",LOWER(Z$2:Z$1000)))*ISNUMBER(SEARCH(LOWER(HH$36),LOWER(AB$2:AB$1000))))</f>
        <v>0</v>
      </c>
      <c r="HI48" cm="1">
        <f t="array" ref="HI48">SUMPRODUCT((Y$2:Y$1000="PS")*(F$2:F$1000=GZ48)*ISNUMBER(SEARCH("minimization",LOWER(Z$2:Z$1000)))*ISNUMBER(SEARCH(LOWER(HI$36),LOWER(AB$2:AB$1000))))</f>
        <v>0</v>
      </c>
      <c r="HJ48" cm="1">
        <f t="array" ref="HJ48">SUMPRODUCT((Y$2:Y$1000="PS")*(F$2:F$1000=GZ48)*ISNUMBER(SEARCH("minimization",LOWER(Z$2:Z$1000)))*ISNUMBER(SEARCH(LOWER(HJ$36),LOWER(AB$2:AB$1000))))</f>
        <v>0</v>
      </c>
      <c r="HK48" cm="1">
        <f t="array" ref="HK48">SUMPRODUCT((Y$2:Y$1000="PS")*(F$2:F$1000=GZ48)*ISNUMBER(SEARCH("minimization",LOWER(Z$2:Z$1000)))*ISNUMBER(SEARCH(LOWER(HK$36),LOWER(AB$2:AB$1000))))</f>
        <v>0</v>
      </c>
      <c r="HL48" cm="1">
        <f t="array" ref="HL48">SUMPRODUCT((Y$2:Y$1000="PS")*(F$2:F$1000=GZ48)*ISNUMBER(SEARCH("minimization",LOWER(Z$2:Z$1000)))*ISNUMBER(SEARCH(LOWER(HL$36),LOWER(AB$2:AB$1000))))</f>
        <v>0</v>
      </c>
      <c r="HM48" cm="1">
        <f t="array" ref="HM48">SUMPRODUCT((Y$2:Y$1000="PS")*(F$2:F$1000=GZ48)*ISNUMBER(SEARCH("minimization",LOWER(Z$2:Z$1000)))*ISNUMBER(SEARCH(LOWER(HM$36),LOWER(AB$2:AB$1000))))</f>
        <v>0</v>
      </c>
    </row>
    <row r="49" spans="3:221" ht="129.6">
      <c r="C49" t="s">
        <v>574</v>
      </c>
      <c r="D49" t="s">
        <v>575</v>
      </c>
      <c r="E49" t="s">
        <v>576</v>
      </c>
      <c r="F49">
        <v>2021</v>
      </c>
      <c r="J49" t="s">
        <v>577</v>
      </c>
      <c r="Y49" t="s">
        <v>58</v>
      </c>
      <c r="Z49" s="6" t="s">
        <v>560</v>
      </c>
      <c r="AA49" s="7" t="s">
        <v>578</v>
      </c>
      <c r="AB49" s="7" t="s">
        <v>1383</v>
      </c>
      <c r="AC49" s="7"/>
      <c r="AD49" s="6" t="s">
        <v>579</v>
      </c>
      <c r="AE49" s="6" t="s">
        <v>580</v>
      </c>
      <c r="AF49" s="7" t="s">
        <v>581</v>
      </c>
      <c r="AG49" s="7" t="s">
        <v>582</v>
      </c>
      <c r="AH49" s="6">
        <v>0.5</v>
      </c>
      <c r="AK49">
        <f t="shared" si="5"/>
        <v>1</v>
      </c>
      <c r="AL49">
        <f t="shared" si="0"/>
        <v>0</v>
      </c>
      <c r="AM49">
        <f t="shared" si="1"/>
        <v>0</v>
      </c>
      <c r="AN49">
        <f t="shared" si="2"/>
        <v>1</v>
      </c>
      <c r="FV49">
        <v>2025</v>
      </c>
      <c r="FW49" s="35" cm="1">
        <f t="array" ref="FW49">SUMPRODUCT((Y$2:Y$1000="PS")*(F$2:F$1000=FV49)*ISNUMBER(SEARCH("selection",LOWER(Z$2:Z$1000)))*ISNUMBER(SEARCH("integer",LOWER(AA$2:AA$1000))))</f>
        <v>0</v>
      </c>
      <c r="FX49" cm="1">
        <f t="array" ref="FX49">SUMPRODUCT((Y$2:Y$1000="PS")*(F$2:F$1000=FV49)*ISNUMBER(SEARCH("selection",LOWER(Z$2:Z$1000)))*ISNUMBER(SEARCH("data-flow",LOWER(AA$2:AA$1000))))</f>
        <v>0</v>
      </c>
      <c r="FY49" cm="1">
        <f t="array" ref="FY49">SUMPRODUCT((Y$2:Y$1000="PS")*(F$2:F$1000=FV49)*ISNUMBER(SEARCH("selection",LOWER(Z$2:Z$1000)))*ISNUMBER(SEARCH("symbolic",LOWER(AA$2:AA$1000))))</f>
        <v>0</v>
      </c>
      <c r="FZ49" cm="1">
        <f t="array" ref="FZ49">SUMPRODUCT((Y$2:Y$1000="PS")*(F$2:F$1000=FV49)*ISNUMBER(SEARCH("selection",LOWER(Z$2:Z$1000)))*ISNUMBER(SEARCH("dynamyc",LOWER(AA$2:AA$1000))))</f>
        <v>0</v>
      </c>
      <c r="GA49" cm="1">
        <f t="array" ref="GA49">SUMPRODUCT((Y$2:Y$1000="PS")*(F$2:F$1000=FV49)*ISNUMBER(SEARCH("selection",LOWER(Z$2:Z$1000)))*ISNUMBER(SEARCH("graph",LOWER(AA$2:AA$1000))))</f>
        <v>1</v>
      </c>
      <c r="GB49" cm="1">
        <f t="array" ref="GB49">SUMPRODUCT((Y$2:Y$1000="PS")*(F$2:F$1000=FV49)*ISNUMBER(SEARCH("selection",LOWER(Z$2:Z$1000)))*ISNUMBER(SEARCH("textual",LOWER(AA$2:AA$1000))))</f>
        <v>0</v>
      </c>
      <c r="GC49" cm="1">
        <f t="array" ref="GC49">SUMPRODUCT((Y$2:Y$1000="PS")*(F$2:F$1000=FV49)*ISNUMBER(SEARCH("selection",LOWER(Z$2:Z$1000)))*ISNUMBER(SEARCH("sdg",LOWER(AA$2:AA$1000))))</f>
        <v>0</v>
      </c>
      <c r="GD49" cm="1">
        <f t="array" ref="GD49">SUMPRODUCT((Y$2:Y$1000="PS")*(F$2:F$1000=FV49)*ISNUMBER(SEARCH("selection",LOWER(Z$2:Z$1000)))*ISNUMBER(SEARCH("path",LOWER(AA$2:AA$1000))))</f>
        <v>0</v>
      </c>
      <c r="GE49" cm="1">
        <f t="array" ref="GE49">SUMPRODUCT((Y$2:Y$1000="PS")*(F$2:F$1000=FV49)*ISNUMBER(SEARCH("selection",LOWER(Z$2:Z$1000)))*ISNUMBER(SEARCH("mod",LOWER(AA$2:AA$1000))))</f>
        <v>0</v>
      </c>
      <c r="GF49" cm="1">
        <f t="array" ref="GF49">SUMPRODUCT((Y$2:Y$1000="PS")*(F$2:F$1000=FV49)*ISNUMBER(SEARCH("selection",LOWER(Z$2:Z$1000)))*ISNUMBER(SEARCH("firewall",LOWER(AA$2:AA$1000))))</f>
        <v>0</v>
      </c>
      <c r="GG49" cm="1">
        <f t="array" ref="GG49">SUMPRODUCT((Y$2:Y$1000="PS")*(F$2:F$1000=FV49)*ISNUMBER(SEARCH("selection",LOWER(Z$2:Z$1000)))*ISNUMBER(SEARCH("cluster",LOWER(AA$2:AA$1000))))</f>
        <v>0</v>
      </c>
      <c r="GH49" cm="1">
        <f t="array" ref="GH49">SUMPRODUCT((Y$2:Y$1000="PS")*(F$2:F$1000=FV49)*ISNUMBER(SEARCH("selection",LOWER(Z$2:Z$1000)))*ISNUMBER(SEARCH("design",LOWER(AA$2:AA$1000))))</f>
        <v>0</v>
      </c>
      <c r="GI49" cm="1">
        <f t="array" ref="GI49">SUMPRODUCT((Y$2:Y$1000="PS")*(F$2:F$1000=FV49)*ISNUMBER(SEARCH("selection",LOWER(Z$2:Z$1000)))*ISNUMBER(SEARCH("hybrid",LOWER(AA$2:AA$1000))))</f>
        <v>0</v>
      </c>
      <c r="GJ49" cm="1">
        <f t="array" ref="GJ49">SUMPRODUCT((Y$2:Y$1000="PS")*(F$2:F$1000=FV49)*ISNUMBER(SEARCH("selection",LOWER(Z$2:Z$1000)))*ISNUMBER(SEARCH("selection",LOWER(AA$2:AA$1000))))</f>
        <v>0</v>
      </c>
      <c r="GK49" cm="1">
        <f t="array" ref="GK49">SUMPRODUCT((Y$2:Y$1000="PS")*(F$2:F$1000=FV49)*ISNUMBER(SEARCH("selection",LOWER(Z$2:Z$1000)))*ISNUMBER(SEARCH("detection",LOWER(AA$2:AA$1000))))</f>
        <v>0</v>
      </c>
      <c r="GL49" cm="1">
        <f t="array" ref="GL49">SUMPRODUCT((Y$2:Y$1000="PS")*(F$2:F$1000=FV49)*ISNUMBER(SEARCH("selection",LOWER(Z$2:Z$1000)))*ISNUMBER(SEARCH("coverage",LOWER(AA$2:AA$1000))))</f>
        <v>0</v>
      </c>
      <c r="GM49" cm="1">
        <f t="array" ref="GM49">SUMPRODUCT((Y$2:Y$1000="PS")*(F$2:F$1000=FV49)*ISNUMBER(SEARCH("selection",LOWER(Z$2:Z$1000)))*ISNUMBER(SEARCH("change",LOWER(AA$2:AA$1000))))</f>
        <v>0</v>
      </c>
      <c r="GN49" cm="1">
        <f t="array" ref="GN49">SUMPRODUCT((Y$2:Y$1000="PS")*(F$2:F$1000=FV49)*ISNUMBER(SEARCH("selection",LOWER(Z$2:Z$1000)))*ISNUMBER(SEARCH("model",LOWER(AA$2:AA$1000))))</f>
        <v>0</v>
      </c>
      <c r="GO49" cm="1">
        <f t="array" ref="GO49">SUMPRODUCT((Y$2:Y$1000="PS")*(F$2:F$1000=FV49)*ISNUMBER(SEARCH("selection",LOWER(Z$2:Z$1000)))*ISNUMBER(SEARCH("hystory",LOWER(AA$2:AA$1000))))</f>
        <v>0</v>
      </c>
      <c r="GP49" cm="1">
        <f t="array" ref="GP49">SUMPRODUCT((Y$2:Y$1000="PS")*(F$2:F$1000=FV49)*ISNUMBER(SEARCH("selection",LOWER(Z$2:Z$1000)))*ISNUMBER(SEARCH("cost-aware",LOWER(AA$2:AA$1000))))</f>
        <v>0</v>
      </c>
      <c r="GQ49" cm="1">
        <f t="array" ref="GQ49">SUMPRODUCT((Y$2:Y$1000="PS")*(F$2:F$1000=FV49)*ISNUMBER(SEARCH("selection",LOWER(Z$2:Z$1000)))*ISNUMBER(SEARCH("similarity",LOWER(AA$2:AA$1000))))</f>
        <v>0</v>
      </c>
      <c r="GR49" s="35" cm="1">
        <f t="array" ref="GR49">SUMPRODUCT((Y$2:Y$1000="PS")*(F$2:F$1000=FV49)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9">
        <v>2025</v>
      </c>
      <c r="HA49" cm="1">
        <f t="array" ref="HA49">SUMPRODUCT((Y$2:Y$1000="PS")*(F$2:F$1000=GZ49)*ISNUMBER(SEARCH("minimization",LOWER(Z$2:Z$1000)))*ISNUMBER(SEARCH(LOWER(HA$36),LOWER(AB$2:AB$1000))))</f>
        <v>0</v>
      </c>
      <c r="HB49" cm="1">
        <f t="array" ref="HB49">SUMPRODUCT((Y$2:Y$1000="PS")*(F$2:F$1000=GZ49)*ISNUMBER(SEARCH("minimization",LOWER(Z$2:Z$1000)))*ISNUMBER(SEARCH(LOWER(HB$36),LOWER(AB$2:AB$1000))))</f>
        <v>0</v>
      </c>
      <c r="HC49" cm="1">
        <f t="array" ref="HC49">SUMPRODUCT((Y$2:Y$1000="PS")*(F$2:F$1000=GZ49)*ISNUMBER(SEARCH("minimization",LOWER(Z$2:Z$1000)))*ISNUMBER(SEARCH(LOWER(HC$36),LOWER(AB$2:AB$1000))))</f>
        <v>0</v>
      </c>
      <c r="HD49" cm="1">
        <f t="array" ref="HD49">SUMPRODUCT((Y$2:Y$1000="PS")*(F$2:F$1000=GZ49)*ISNUMBER(SEARCH("minimization",LOWER(Z$2:Z$1000)))*ISNUMBER(SEARCH(LOWER(HD$36),LOWER(AB$2:AB$1000))))</f>
        <v>0</v>
      </c>
      <c r="HE49" cm="1">
        <f t="array" ref="HE49">SUMPRODUCT((Y$2:Y$1000="PS")*(F$2:F$1000=GZ49)*ISNUMBER(SEARCH("minimization",LOWER(Z$2:Z$1000)))*ISNUMBER(SEARCH(LOWER(HE$36),LOWER(AB$2:AB$1000))))</f>
        <v>0</v>
      </c>
      <c r="HF49" cm="1">
        <f t="array" ref="HF49">SUMPRODUCT((Y$2:Y$1000="PS")*(F$2:F$1000=GZ49)*ISNUMBER(SEARCH("minimization",LOWER(Z$2:Z$1000)))*ISNUMBER(SEARCH(LOWER(HF$36),LOWER(AB$2:AB$1000))))</f>
        <v>0</v>
      </c>
      <c r="HG49" cm="1">
        <f t="array" ref="HG49">SUMPRODUCT((Y$2:Y$1000="PS")*(F$2:F$1000=GZ49)*ISNUMBER(SEARCH("minimization",LOWER(Z$2:Z$1000)))*ISNUMBER(SEARCH(LOWER(HG$36),LOWER(AB$2:AB$1000))))</f>
        <v>0</v>
      </c>
      <c r="HH49" cm="1">
        <f t="array" ref="HH49">SUMPRODUCT((Y$2:Y$1000="PS")*(F$2:F$1000=GZ49)*ISNUMBER(SEARCH("minimization",LOWER(Z$2:Z$1000)))*ISNUMBER(SEARCH(LOWER(HH$36),LOWER(AB$2:AB$1000))))</f>
        <v>0</v>
      </c>
      <c r="HI49" cm="1">
        <f t="array" ref="HI49">SUMPRODUCT((Y$2:Y$1000="PS")*(F$2:F$1000=GZ49)*ISNUMBER(SEARCH("minimization",LOWER(Z$2:Z$1000)))*ISNUMBER(SEARCH(LOWER(HI$36),LOWER(AB$2:AB$1000))))</f>
        <v>0</v>
      </c>
      <c r="HJ49" cm="1">
        <f t="array" ref="HJ49">SUMPRODUCT((Y$2:Y$1000="PS")*(F$2:F$1000=GZ49)*ISNUMBER(SEARCH("minimization",LOWER(Z$2:Z$1000)))*ISNUMBER(SEARCH(LOWER(HJ$36),LOWER(AB$2:AB$1000))))</f>
        <v>0</v>
      </c>
      <c r="HK49" cm="1">
        <f t="array" ref="HK49">SUMPRODUCT((Y$2:Y$1000="PS")*(F$2:F$1000=GZ49)*ISNUMBER(SEARCH("minimization",LOWER(Z$2:Z$1000)))*ISNUMBER(SEARCH(LOWER(HK$36),LOWER(AB$2:AB$1000))))</f>
        <v>0</v>
      </c>
      <c r="HL49" cm="1">
        <f t="array" ref="HL49">SUMPRODUCT((Y$2:Y$1000="PS")*(F$2:F$1000=GZ49)*ISNUMBER(SEARCH("minimization",LOWER(Z$2:Z$1000)))*ISNUMBER(SEARCH(LOWER(HL$36),LOWER(AB$2:AB$1000))))</f>
        <v>0</v>
      </c>
      <c r="HM49" cm="1">
        <f t="array" ref="HM49">SUMPRODUCT((Y$2:Y$1000="PS")*(F$2:F$1000=GZ49)*ISNUMBER(SEARCH("minimization",LOWER(Z$2:Z$1000)))*ISNUMBER(SEARCH(LOWER(HM$36),LOWER(AB$2:AB$1000))))</f>
        <v>0</v>
      </c>
    </row>
    <row r="50" spans="3:221" ht="86.4">
      <c r="C50" t="s">
        <v>583</v>
      </c>
      <c r="D50" t="s">
        <v>584</v>
      </c>
      <c r="E50" t="s">
        <v>585</v>
      </c>
      <c r="F50">
        <v>2019</v>
      </c>
      <c r="J50" t="s">
        <v>586</v>
      </c>
      <c r="Y50" t="s">
        <v>58</v>
      </c>
      <c r="Z50" s="4" t="s">
        <v>587</v>
      </c>
      <c r="AA50" s="18" t="s">
        <v>1361</v>
      </c>
      <c r="AB50" s="18" t="s">
        <v>1371</v>
      </c>
      <c r="AC50" s="18"/>
      <c r="AD50" s="18" t="s">
        <v>588</v>
      </c>
      <c r="AE50" s="4" t="s">
        <v>589</v>
      </c>
      <c r="AF50" s="18" t="s">
        <v>590</v>
      </c>
      <c r="AG50" s="18" t="s">
        <v>591</v>
      </c>
      <c r="AH50" s="18">
        <v>0</v>
      </c>
      <c r="AK50">
        <f t="shared" si="5"/>
        <v>1</v>
      </c>
      <c r="AL50">
        <f t="shared" si="0"/>
        <v>0</v>
      </c>
      <c r="AM50">
        <f t="shared" si="1"/>
        <v>0</v>
      </c>
      <c r="AN50">
        <f t="shared" si="2"/>
        <v>1</v>
      </c>
      <c r="CN50" t="s">
        <v>704</v>
      </c>
      <c r="EQ50">
        <v>3</v>
      </c>
      <c r="FQ50" t="s">
        <v>1302</v>
      </c>
    </row>
    <row r="51" spans="3:221" ht="86.4">
      <c r="C51" t="s">
        <v>592</v>
      </c>
      <c r="D51" t="s">
        <v>593</v>
      </c>
      <c r="E51" t="s">
        <v>594</v>
      </c>
      <c r="F51">
        <v>2022</v>
      </c>
      <c r="J51" t="s">
        <v>595</v>
      </c>
      <c r="Y51" t="s">
        <v>58</v>
      </c>
      <c r="Z51" s="4" t="s">
        <v>462</v>
      </c>
      <c r="AA51" s="18" t="s">
        <v>408</v>
      </c>
      <c r="AB51" s="18" t="s">
        <v>91</v>
      </c>
      <c r="AC51" s="18"/>
      <c r="AD51" s="18" t="s">
        <v>596</v>
      </c>
      <c r="AE51" s="4" t="s">
        <v>597</v>
      </c>
      <c r="AF51" s="18" t="s">
        <v>598</v>
      </c>
      <c r="AG51" s="18" t="s">
        <v>599</v>
      </c>
      <c r="AH51" s="18">
        <v>0</v>
      </c>
      <c r="AK51">
        <f t="shared" si="5"/>
        <v>1</v>
      </c>
      <c r="AL51">
        <f t="shared" si="0"/>
        <v>0</v>
      </c>
      <c r="AM51">
        <f t="shared" si="1"/>
        <v>0</v>
      </c>
      <c r="AN51">
        <f t="shared" si="2"/>
        <v>1</v>
      </c>
      <c r="FQ51" t="s">
        <v>1265</v>
      </c>
      <c r="FR51" t="s">
        <v>1266</v>
      </c>
    </row>
    <row r="52" spans="3:221" ht="86.4">
      <c r="C52" t="s">
        <v>600</v>
      </c>
      <c r="D52" t="s">
        <v>601</v>
      </c>
      <c r="E52" t="s">
        <v>602</v>
      </c>
      <c r="F52">
        <v>2022</v>
      </c>
      <c r="J52" t="s">
        <v>603</v>
      </c>
      <c r="Y52" t="s">
        <v>58</v>
      </c>
      <c r="Z52" s="4" t="s">
        <v>604</v>
      </c>
      <c r="AA52" s="18" t="s">
        <v>408</v>
      </c>
      <c r="AB52" s="18" t="s">
        <v>1383</v>
      </c>
      <c r="AC52" s="18" t="s">
        <v>384</v>
      </c>
      <c r="AD52" s="18" t="s">
        <v>605</v>
      </c>
      <c r="AE52" s="4" t="s">
        <v>606</v>
      </c>
      <c r="AF52" s="18" t="s">
        <v>607</v>
      </c>
      <c r="AG52" s="18" t="s">
        <v>608</v>
      </c>
      <c r="AH52" s="18">
        <v>0</v>
      </c>
      <c r="AK52">
        <f t="shared" si="5"/>
        <v>1</v>
      </c>
      <c r="AL52">
        <f t="shared" si="0"/>
        <v>1</v>
      </c>
      <c r="AM52">
        <f t="shared" si="1"/>
        <v>0</v>
      </c>
      <c r="AN52">
        <f t="shared" si="2"/>
        <v>1</v>
      </c>
      <c r="FQ52" t="s">
        <v>1303</v>
      </c>
      <c r="FR52" s="35" cm="1">
        <f t="array" ref="FR52">SUMPRODUCT((Y$2:Y$1000="PS")*ISNUMBER(SEARCH("search-based",LOWER(AA$2:AA$1000)))*ISNUMBER(SEARCH("minimization",LOWER(Z$2:Z$1000))))</f>
        <v>1</v>
      </c>
    </row>
    <row r="53" spans="3:221" ht="100.8">
      <c r="C53" t="s">
        <v>609</v>
      </c>
      <c r="D53" t="s">
        <v>610</v>
      </c>
      <c r="E53" t="s">
        <v>611</v>
      </c>
      <c r="F53">
        <v>2022</v>
      </c>
      <c r="J53" t="s">
        <v>612</v>
      </c>
      <c r="Y53" t="s">
        <v>58</v>
      </c>
      <c r="Z53" s="4" t="s">
        <v>613</v>
      </c>
      <c r="AA53" s="18" t="s">
        <v>408</v>
      </c>
      <c r="AB53" s="18" t="s">
        <v>91</v>
      </c>
      <c r="AC53" s="19"/>
      <c r="AD53" s="18" t="s">
        <v>614</v>
      </c>
      <c r="AE53" s="4" t="s">
        <v>615</v>
      </c>
      <c r="AF53" s="18" t="s">
        <v>616</v>
      </c>
      <c r="AG53" s="18" t="s">
        <v>617</v>
      </c>
      <c r="AH53" s="18">
        <v>0</v>
      </c>
      <c r="AK53">
        <f t="shared" si="5"/>
        <v>1</v>
      </c>
      <c r="AL53">
        <f t="shared" si="0"/>
        <v>0</v>
      </c>
      <c r="AM53">
        <f t="shared" si="1"/>
        <v>0</v>
      </c>
      <c r="AN53">
        <f t="shared" si="2"/>
        <v>1</v>
      </c>
      <c r="FQ53" t="s">
        <v>1301</v>
      </c>
      <c r="FR53" s="35" cm="1">
        <f t="array" ref="FR53">SUMPRODUCT((Y$2:Y$1000="PS")*ISNUMBER(SEARCH("minimization",LOWER(Z$2:Z$1000)))*(NOT(ISNUMBER(SEARCH("search-based",LOWER(AA$2:AA$1000))))))</f>
        <v>2</v>
      </c>
    </row>
    <row r="54" spans="3:221" ht="129.6">
      <c r="C54" t="s">
        <v>618</v>
      </c>
      <c r="D54" t="s">
        <v>619</v>
      </c>
      <c r="E54" t="s">
        <v>620</v>
      </c>
      <c r="F54">
        <v>2023</v>
      </c>
      <c r="J54" t="s">
        <v>621</v>
      </c>
      <c r="Y54" t="s">
        <v>58</v>
      </c>
      <c r="Z54" s="4" t="s">
        <v>622</v>
      </c>
      <c r="AA54" s="18" t="s">
        <v>142</v>
      </c>
      <c r="AB54" s="18" t="s">
        <v>1374</v>
      </c>
      <c r="AC54" s="18"/>
      <c r="AD54" s="18" t="s">
        <v>623</v>
      </c>
      <c r="AE54" s="4" t="s">
        <v>624</v>
      </c>
      <c r="AF54" s="18" t="s">
        <v>590</v>
      </c>
      <c r="AG54" s="18" t="s">
        <v>625</v>
      </c>
      <c r="AH54" s="18">
        <v>1</v>
      </c>
      <c r="AK54">
        <f t="shared" si="5"/>
        <v>1</v>
      </c>
      <c r="AL54">
        <f t="shared" si="0"/>
        <v>0</v>
      </c>
      <c r="AM54">
        <f t="shared" si="1"/>
        <v>0</v>
      </c>
      <c r="AN54">
        <f t="shared" si="2"/>
        <v>1</v>
      </c>
    </row>
    <row r="55" spans="3:221" ht="115.2">
      <c r="C55" t="s">
        <v>626</v>
      </c>
      <c r="D55" t="s">
        <v>627</v>
      </c>
      <c r="E55" t="s">
        <v>628</v>
      </c>
      <c r="F55">
        <v>2022</v>
      </c>
      <c r="J55" t="s">
        <v>629</v>
      </c>
      <c r="Y55" t="s">
        <v>58</v>
      </c>
      <c r="Z55" s="4" t="s">
        <v>613</v>
      </c>
      <c r="AA55" s="18" t="s">
        <v>630</v>
      </c>
      <c r="AB55" s="18" t="s">
        <v>207</v>
      </c>
      <c r="AC55" s="19"/>
      <c r="AD55" s="18" t="s">
        <v>631</v>
      </c>
      <c r="AE55" s="4" t="s">
        <v>632</v>
      </c>
      <c r="AF55" s="18" t="s">
        <v>633</v>
      </c>
      <c r="AG55" s="18" t="s">
        <v>634</v>
      </c>
      <c r="AH55" s="18">
        <v>0.5</v>
      </c>
      <c r="AK55">
        <f t="shared" si="5"/>
        <v>1</v>
      </c>
      <c r="AL55">
        <f t="shared" si="0"/>
        <v>0</v>
      </c>
      <c r="AM55">
        <f t="shared" si="1"/>
        <v>0</v>
      </c>
      <c r="AN55">
        <f t="shared" si="2"/>
        <v>1</v>
      </c>
    </row>
    <row r="56" spans="3:221" ht="144">
      <c r="C56" t="s">
        <v>635</v>
      </c>
      <c r="D56" t="s">
        <v>636</v>
      </c>
      <c r="E56" t="s">
        <v>637</v>
      </c>
      <c r="F56">
        <v>2023</v>
      </c>
      <c r="J56" t="s">
        <v>638</v>
      </c>
      <c r="Y56" t="s">
        <v>58</v>
      </c>
      <c r="Z56" s="4" t="s">
        <v>622</v>
      </c>
      <c r="AA56" s="18" t="s">
        <v>1362</v>
      </c>
      <c r="AB56" s="18" t="s">
        <v>1383</v>
      </c>
      <c r="AC56" s="18" t="s">
        <v>384</v>
      </c>
      <c r="AD56" s="18" t="s">
        <v>639</v>
      </c>
      <c r="AE56" s="4" t="s">
        <v>640</v>
      </c>
      <c r="AF56" s="18" t="s">
        <v>641</v>
      </c>
      <c r="AG56" s="18" t="s">
        <v>642</v>
      </c>
      <c r="AH56" s="18">
        <v>0.5</v>
      </c>
      <c r="AK56">
        <f t="shared" si="5"/>
        <v>1</v>
      </c>
      <c r="AL56">
        <f t="shared" si="0"/>
        <v>0</v>
      </c>
      <c r="AM56">
        <f t="shared" si="1"/>
        <v>0</v>
      </c>
      <c r="AN56">
        <f t="shared" si="2"/>
        <v>1</v>
      </c>
    </row>
    <row r="57" spans="3:221" ht="100.8">
      <c r="C57" t="s">
        <v>643</v>
      </c>
      <c r="D57" t="s">
        <v>644</v>
      </c>
      <c r="E57" t="s">
        <v>645</v>
      </c>
      <c r="F57">
        <v>2023</v>
      </c>
      <c r="J57" t="s">
        <v>646</v>
      </c>
      <c r="M57" t="s">
        <v>1409</v>
      </c>
      <c r="Y57" t="s">
        <v>58</v>
      </c>
      <c r="Z57" s="4" t="s">
        <v>622</v>
      </c>
      <c r="AA57" s="18" t="s">
        <v>1363</v>
      </c>
      <c r="AB57" s="18" t="s">
        <v>130</v>
      </c>
      <c r="AC57" s="19"/>
      <c r="AD57" s="18" t="s">
        <v>647</v>
      </c>
      <c r="AE57" s="4" t="s">
        <v>648</v>
      </c>
      <c r="AF57" s="18" t="s">
        <v>649</v>
      </c>
      <c r="AG57" s="18" t="s">
        <v>650</v>
      </c>
      <c r="AH57" s="18">
        <v>0</v>
      </c>
      <c r="AK57">
        <f t="shared" si="5"/>
        <v>1</v>
      </c>
      <c r="AL57">
        <f t="shared" si="0"/>
        <v>0</v>
      </c>
      <c r="AM57">
        <f t="shared" si="1"/>
        <v>0</v>
      </c>
      <c r="AN57">
        <f t="shared" si="2"/>
        <v>1</v>
      </c>
    </row>
    <row r="58" spans="3:221">
      <c r="C58" t="s">
        <v>651</v>
      </c>
      <c r="D58" t="s">
        <v>652</v>
      </c>
      <c r="E58" t="s">
        <v>653</v>
      </c>
      <c r="F58">
        <v>2019</v>
      </c>
      <c r="J58" t="s">
        <v>654</v>
      </c>
      <c r="Y58" t="s">
        <v>77</v>
      </c>
      <c r="Z58" s="20" t="s">
        <v>655</v>
      </c>
      <c r="AA58" s="20"/>
      <c r="AB58" s="20"/>
      <c r="AC58" s="20"/>
      <c r="AD58" s="20"/>
      <c r="AE58" s="20"/>
      <c r="AF58" s="20"/>
      <c r="AG58" s="20"/>
      <c r="AH58" s="20"/>
      <c r="AK58">
        <f t="shared" si="5"/>
        <v>0</v>
      </c>
      <c r="AL58">
        <f t="shared" si="0"/>
        <v>0</v>
      </c>
      <c r="AM58">
        <f t="shared" si="1"/>
        <v>0</v>
      </c>
      <c r="AN58">
        <f t="shared" si="2"/>
        <v>0</v>
      </c>
    </row>
    <row r="59" spans="3:221" ht="86.4">
      <c r="C59" t="s">
        <v>656</v>
      </c>
      <c r="D59" t="s">
        <v>636</v>
      </c>
      <c r="E59" t="s">
        <v>657</v>
      </c>
      <c r="F59">
        <v>2023</v>
      </c>
      <c r="J59" t="s">
        <v>658</v>
      </c>
      <c r="Y59" t="s">
        <v>58</v>
      </c>
      <c r="Z59" s="5" t="s">
        <v>659</v>
      </c>
      <c r="AA59" s="21" t="s">
        <v>408</v>
      </c>
      <c r="AB59" s="21" t="s">
        <v>409</v>
      </c>
      <c r="AC59" s="21" t="s">
        <v>115</v>
      </c>
      <c r="AD59" s="21" t="s">
        <v>660</v>
      </c>
      <c r="AE59" s="5" t="s">
        <v>661</v>
      </c>
      <c r="AF59" s="21" t="s">
        <v>662</v>
      </c>
      <c r="AG59" s="21" t="s">
        <v>663</v>
      </c>
      <c r="AH59" s="21">
        <v>0</v>
      </c>
      <c r="AK59">
        <f t="shared" si="5"/>
        <v>1</v>
      </c>
      <c r="AL59">
        <f t="shared" si="0"/>
        <v>0</v>
      </c>
      <c r="AM59">
        <f t="shared" si="1"/>
        <v>0</v>
      </c>
      <c r="AN59">
        <f t="shared" si="2"/>
        <v>1</v>
      </c>
    </row>
    <row r="60" spans="3:221" ht="57.6">
      <c r="C60" t="s">
        <v>664</v>
      </c>
      <c r="D60" t="s">
        <v>665</v>
      </c>
      <c r="E60" t="s">
        <v>666</v>
      </c>
      <c r="F60">
        <v>2021</v>
      </c>
      <c r="J60" t="s">
        <v>667</v>
      </c>
      <c r="Y60" t="s">
        <v>58</v>
      </c>
      <c r="Z60" s="4" t="s">
        <v>516</v>
      </c>
      <c r="AA60" s="18" t="s">
        <v>1273</v>
      </c>
      <c r="AB60" s="18" t="s">
        <v>409</v>
      </c>
      <c r="AC60" s="18" t="s">
        <v>704</v>
      </c>
      <c r="AD60" s="18" t="s">
        <v>668</v>
      </c>
      <c r="AE60" s="4" t="s">
        <v>669</v>
      </c>
      <c r="AF60" s="18" t="s">
        <v>670</v>
      </c>
      <c r="AG60" s="18" t="s">
        <v>591</v>
      </c>
      <c r="AH60" s="18">
        <v>0</v>
      </c>
      <c r="AK60">
        <f t="shared" si="5"/>
        <v>1</v>
      </c>
      <c r="AL60">
        <f t="shared" si="0"/>
        <v>0</v>
      </c>
      <c r="AM60">
        <f t="shared" si="1"/>
        <v>0</v>
      </c>
      <c r="AN60">
        <f t="shared" si="2"/>
        <v>1</v>
      </c>
    </row>
    <row r="61" spans="3:221" ht="72">
      <c r="C61" t="s">
        <v>671</v>
      </c>
      <c r="D61" t="s">
        <v>672</v>
      </c>
      <c r="E61" t="s">
        <v>673</v>
      </c>
      <c r="F61">
        <v>2022</v>
      </c>
      <c r="J61" t="s">
        <v>674</v>
      </c>
      <c r="Y61" t="s">
        <v>58</v>
      </c>
      <c r="Z61" s="5" t="s">
        <v>613</v>
      </c>
      <c r="AA61" s="21" t="s">
        <v>408</v>
      </c>
      <c r="AB61" s="21" t="s">
        <v>1383</v>
      </c>
      <c r="AC61" s="21" t="s">
        <v>675</v>
      </c>
      <c r="AD61" s="21" t="s">
        <v>676</v>
      </c>
      <c r="AE61" s="5" t="s">
        <v>677</v>
      </c>
      <c r="AF61" s="21" t="s">
        <v>678</v>
      </c>
      <c r="AG61" s="5" t="s">
        <v>679</v>
      </c>
      <c r="AH61" s="21">
        <v>0</v>
      </c>
      <c r="AK61">
        <f t="shared" si="5"/>
        <v>1</v>
      </c>
      <c r="AL61">
        <f t="shared" si="0"/>
        <v>0</v>
      </c>
      <c r="AM61">
        <f t="shared" si="1"/>
        <v>0</v>
      </c>
      <c r="AN61">
        <f t="shared" si="2"/>
        <v>1</v>
      </c>
    </row>
    <row r="62" spans="3:221" ht="115.2">
      <c r="C62" t="s">
        <v>680</v>
      </c>
      <c r="D62" t="s">
        <v>681</v>
      </c>
      <c r="E62" t="s">
        <v>682</v>
      </c>
      <c r="F62">
        <v>2024</v>
      </c>
      <c r="J62" t="s">
        <v>683</v>
      </c>
      <c r="Y62" t="s">
        <v>58</v>
      </c>
      <c r="Z62" s="4" t="s">
        <v>684</v>
      </c>
      <c r="AA62" s="18" t="s">
        <v>1367</v>
      </c>
      <c r="AB62" s="18" t="s">
        <v>1383</v>
      </c>
      <c r="AC62" s="18" t="s">
        <v>675</v>
      </c>
      <c r="AD62" s="18" t="s">
        <v>685</v>
      </c>
      <c r="AE62" s="4" t="s">
        <v>686</v>
      </c>
      <c r="AF62" s="18" t="s">
        <v>687</v>
      </c>
      <c r="AG62" s="18" t="s">
        <v>688</v>
      </c>
      <c r="AH62" s="18">
        <v>0</v>
      </c>
      <c r="AK62">
        <f t="shared" si="5"/>
        <v>1</v>
      </c>
      <c r="AL62">
        <f t="shared" si="0"/>
        <v>0</v>
      </c>
      <c r="AM62">
        <f t="shared" si="1"/>
        <v>1</v>
      </c>
      <c r="AN62">
        <f t="shared" si="2"/>
        <v>0</v>
      </c>
    </row>
    <row r="63" spans="3:221" ht="100.8">
      <c r="C63" t="s">
        <v>689</v>
      </c>
      <c r="D63" t="s">
        <v>459</v>
      </c>
      <c r="E63" t="s">
        <v>690</v>
      </c>
      <c r="F63">
        <v>2024</v>
      </c>
      <c r="J63" t="s">
        <v>691</v>
      </c>
      <c r="Y63" t="s">
        <v>58</v>
      </c>
      <c r="Z63" s="5" t="s">
        <v>569</v>
      </c>
      <c r="AA63" s="18" t="s">
        <v>408</v>
      </c>
      <c r="AB63" s="21" t="s">
        <v>1383</v>
      </c>
      <c r="AC63" s="21" t="s">
        <v>384</v>
      </c>
      <c r="AD63" s="21" t="s">
        <v>692</v>
      </c>
      <c r="AE63" s="5" t="s">
        <v>693</v>
      </c>
      <c r="AF63" s="21" t="s">
        <v>694</v>
      </c>
      <c r="AG63" s="21" t="s">
        <v>695</v>
      </c>
      <c r="AH63" s="21">
        <v>1</v>
      </c>
      <c r="AK63">
        <f t="shared" si="5"/>
        <v>1</v>
      </c>
      <c r="AL63">
        <f t="shared" si="0"/>
        <v>0</v>
      </c>
      <c r="AM63">
        <f t="shared" si="1"/>
        <v>0</v>
      </c>
      <c r="AN63">
        <f t="shared" si="2"/>
        <v>1</v>
      </c>
    </row>
    <row r="64" spans="3:221" ht="115.2">
      <c r="C64" s="2" t="s">
        <v>696</v>
      </c>
      <c r="D64" t="s">
        <v>513</v>
      </c>
      <c r="E64" t="s">
        <v>697</v>
      </c>
      <c r="F64">
        <v>2015</v>
      </c>
      <c r="J64" t="s">
        <v>698</v>
      </c>
      <c r="Y64" t="s">
        <v>58</v>
      </c>
      <c r="Z64" s="22" t="s">
        <v>699</v>
      </c>
      <c r="AA64" s="18" t="s">
        <v>408</v>
      </c>
      <c r="AB64" s="23" t="s">
        <v>1375</v>
      </c>
      <c r="AC64" s="23" t="s">
        <v>115</v>
      </c>
      <c r="AD64" s="23" t="s">
        <v>700</v>
      </c>
      <c r="AE64" s="22" t="s">
        <v>701</v>
      </c>
      <c r="AF64" s="23" t="s">
        <v>702</v>
      </c>
      <c r="AG64" s="23" t="s">
        <v>703</v>
      </c>
      <c r="AH64" s="23">
        <v>0.5</v>
      </c>
      <c r="AK64">
        <f t="shared" si="5"/>
        <v>1</v>
      </c>
      <c r="AL64">
        <f t="shared" si="0"/>
        <v>0</v>
      </c>
      <c r="AM64">
        <f t="shared" si="1"/>
        <v>0</v>
      </c>
      <c r="AN64">
        <f t="shared" si="2"/>
        <v>1</v>
      </c>
    </row>
    <row r="65" spans="1:180" ht="140.4">
      <c r="A65" s="24">
        <v>9260075</v>
      </c>
      <c r="B65" s="25" t="s">
        <v>34</v>
      </c>
      <c r="C65" s="26" t="s">
        <v>705</v>
      </c>
      <c r="D65" s="26" t="s">
        <v>706</v>
      </c>
      <c r="E65" s="26"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6" t="s">
        <v>713</v>
      </c>
      <c r="AA65" s="26" t="s">
        <v>142</v>
      </c>
      <c r="AB65" s="26" t="s">
        <v>463</v>
      </c>
      <c r="AC65" s="26"/>
      <c r="AD65" s="26" t="s">
        <v>714</v>
      </c>
      <c r="AE65" s="26" t="s">
        <v>715</v>
      </c>
      <c r="AF65" s="26" t="s">
        <v>716</v>
      </c>
      <c r="AG65" s="26" t="s">
        <v>717</v>
      </c>
      <c r="AH65" s="26">
        <v>0</v>
      </c>
      <c r="AI65" s="26"/>
      <c r="AJ65" s="25"/>
      <c r="AK65">
        <f t="shared" si="5"/>
        <v>1</v>
      </c>
      <c r="AL65">
        <f t="shared" si="0"/>
        <v>0</v>
      </c>
      <c r="AM65">
        <f t="shared" si="1"/>
        <v>0</v>
      </c>
      <c r="AN65">
        <f t="shared" si="2"/>
        <v>1</v>
      </c>
    </row>
    <row r="66" spans="1:180" ht="187.2">
      <c r="A66" s="24">
        <v>8914670</v>
      </c>
      <c r="B66" s="25" t="s">
        <v>34</v>
      </c>
      <c r="C66" s="26" t="s">
        <v>718</v>
      </c>
      <c r="D66" s="26" t="s">
        <v>719</v>
      </c>
      <c r="E66" s="26"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6" t="s">
        <v>727</v>
      </c>
      <c r="AA66" s="26" t="s">
        <v>408</v>
      </c>
      <c r="AB66" s="26" t="s">
        <v>1386</v>
      </c>
      <c r="AC66" s="26" t="s">
        <v>728</v>
      </c>
      <c r="AD66" s="26" t="s">
        <v>47</v>
      </c>
      <c r="AE66" s="26" t="s">
        <v>729</v>
      </c>
      <c r="AF66" s="26" t="s">
        <v>730</v>
      </c>
      <c r="AG66" s="26" t="s">
        <v>66</v>
      </c>
      <c r="AH66" s="26">
        <v>0</v>
      </c>
      <c r="AI66" s="26"/>
      <c r="AJ66" s="25"/>
      <c r="AK66">
        <f t="shared" si="5"/>
        <v>1</v>
      </c>
      <c r="AL66">
        <f t="shared" si="0"/>
        <v>0</v>
      </c>
      <c r="AM66">
        <f t="shared" si="1"/>
        <v>0</v>
      </c>
      <c r="AN66">
        <f t="shared" si="2"/>
        <v>1</v>
      </c>
    </row>
    <row r="67" spans="1:180" ht="187.2">
      <c r="A67" s="24">
        <v>8305938</v>
      </c>
      <c r="B67" s="25" t="s">
        <v>34</v>
      </c>
      <c r="C67" s="26" t="s">
        <v>731</v>
      </c>
      <c r="D67" s="26" t="s">
        <v>161</v>
      </c>
      <c r="E67" s="26"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6" t="s">
        <v>738</v>
      </c>
      <c r="AA67" s="26" t="s">
        <v>114</v>
      </c>
      <c r="AB67" s="26" t="s">
        <v>1372</v>
      </c>
      <c r="AC67" s="26"/>
      <c r="AD67" s="26" t="s">
        <v>739</v>
      </c>
      <c r="AE67" s="26" t="s">
        <v>740</v>
      </c>
      <c r="AF67" s="26" t="s">
        <v>716</v>
      </c>
      <c r="AG67" s="26" t="s">
        <v>741</v>
      </c>
      <c r="AH67" s="26">
        <v>0</v>
      </c>
      <c r="AI67" s="26"/>
      <c r="AJ67" s="25"/>
      <c r="AK67">
        <f t="shared" si="5"/>
        <v>1</v>
      </c>
      <c r="AL67">
        <f t="shared" ref="AL67:AL126" si="9">IF(AND(Y67="PS",ISNUMBER(SEARCH("minimization",Z67))),1,0)</f>
        <v>0</v>
      </c>
      <c r="AM67">
        <f t="shared" ref="AM67:AM126" si="10">IF(AND(Y67="PS",ISNUMBER(SEARCH("selection",Z67))),1,0)</f>
        <v>1</v>
      </c>
      <c r="AN67">
        <f t="shared" ref="AN67:AN126" si="11">IF(AND(Y67="PS",ISNUMBER(SEARCH("prioritization",Z67))),1,0)</f>
        <v>1</v>
      </c>
    </row>
    <row r="68" spans="1:180" ht="140.4">
      <c r="A68" s="24">
        <v>8453107</v>
      </c>
      <c r="B68" s="25" t="s">
        <v>34</v>
      </c>
      <c r="C68" s="26" t="s">
        <v>742</v>
      </c>
      <c r="D68" s="26" t="s">
        <v>743</v>
      </c>
      <c r="E68" s="26"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6" t="s">
        <v>1051</v>
      </c>
      <c r="AA68" s="26"/>
      <c r="AB68" s="26"/>
      <c r="AC68" s="26"/>
      <c r="AD68" s="26"/>
      <c r="AE68" s="26"/>
      <c r="AF68" s="26"/>
      <c r="AG68" s="26"/>
      <c r="AH68" s="26">
        <v>0</v>
      </c>
      <c r="AI68" s="26" t="s">
        <v>751</v>
      </c>
      <c r="AJ68" s="25"/>
      <c r="AK68">
        <f t="shared" ref="AK68:AK126" si="12">IF(Y68="PS",1,0)</f>
        <v>1</v>
      </c>
      <c r="AL68">
        <f t="shared" si="9"/>
        <v>0</v>
      </c>
      <c r="AM68">
        <f t="shared" si="10"/>
        <v>0</v>
      </c>
      <c r="AN68">
        <f t="shared" si="11"/>
        <v>1</v>
      </c>
    </row>
    <row r="69" spans="1:180" ht="124.8">
      <c r="A69" s="24">
        <v>8754416</v>
      </c>
      <c r="B69" s="25" t="s">
        <v>34</v>
      </c>
      <c r="C69" s="26" t="s">
        <v>752</v>
      </c>
      <c r="D69" s="26" t="s">
        <v>753</v>
      </c>
      <c r="E69" s="26"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6" t="s">
        <v>727</v>
      </c>
      <c r="AA69" s="26" t="s">
        <v>408</v>
      </c>
      <c r="AB69" s="26" t="s">
        <v>550</v>
      </c>
      <c r="AC69" s="26" t="s">
        <v>728</v>
      </c>
      <c r="AD69" s="28" t="s">
        <v>761</v>
      </c>
      <c r="AE69" s="26" t="s">
        <v>762</v>
      </c>
      <c r="AF69" s="26" t="s">
        <v>763</v>
      </c>
      <c r="AG69" s="26" t="s">
        <v>764</v>
      </c>
      <c r="AH69" s="26">
        <v>0.5</v>
      </c>
      <c r="AI69" s="26"/>
      <c r="AJ69" s="25"/>
      <c r="AK69">
        <f t="shared" si="12"/>
        <v>1</v>
      </c>
      <c r="AL69">
        <f t="shared" si="9"/>
        <v>0</v>
      </c>
      <c r="AM69">
        <f t="shared" si="10"/>
        <v>0</v>
      </c>
      <c r="AN69">
        <f t="shared" si="11"/>
        <v>1</v>
      </c>
    </row>
    <row r="70" spans="1:180" ht="140.4">
      <c r="A70" s="24">
        <v>7582788</v>
      </c>
      <c r="B70" s="25" t="s">
        <v>34</v>
      </c>
      <c r="C70" s="26" t="s">
        <v>765</v>
      </c>
      <c r="D70" s="26" t="s">
        <v>766</v>
      </c>
      <c r="E70" s="26"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6" t="s">
        <v>1018</v>
      </c>
      <c r="AA70" s="26" t="s">
        <v>1290</v>
      </c>
      <c r="AB70" s="26"/>
      <c r="AC70" s="26"/>
      <c r="AD70" s="26"/>
      <c r="AE70" s="26"/>
      <c r="AF70" s="26"/>
      <c r="AG70" s="26"/>
      <c r="AH70" s="26">
        <v>0</v>
      </c>
      <c r="AI70" s="26" t="s">
        <v>751</v>
      </c>
      <c r="AJ70" s="25"/>
      <c r="AK70">
        <f t="shared" si="12"/>
        <v>1</v>
      </c>
      <c r="AL70">
        <f t="shared" si="9"/>
        <v>0</v>
      </c>
      <c r="AM70">
        <f t="shared" si="10"/>
        <v>1</v>
      </c>
      <c r="AN70">
        <f t="shared" si="11"/>
        <v>0</v>
      </c>
      <c r="FV70" t="s">
        <v>1302</v>
      </c>
    </row>
    <row r="71" spans="1:180" ht="124.8">
      <c r="A71" s="24" t="s">
        <v>772</v>
      </c>
      <c r="B71" s="25" t="s">
        <v>773</v>
      </c>
      <c r="C71" s="26" t="s">
        <v>774</v>
      </c>
      <c r="D71" s="26" t="s">
        <v>775</v>
      </c>
      <c r="E71" s="26"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6" t="s">
        <v>786</v>
      </c>
      <c r="AA71" s="26" t="s">
        <v>408</v>
      </c>
      <c r="AB71" s="26" t="s">
        <v>787</v>
      </c>
      <c r="AC71" s="26"/>
      <c r="AD71" s="26" t="s">
        <v>788</v>
      </c>
      <c r="AE71" s="26" t="s">
        <v>789</v>
      </c>
      <c r="AF71" s="26" t="s">
        <v>716</v>
      </c>
      <c r="AG71" s="26" t="s">
        <v>66</v>
      </c>
      <c r="AH71" s="26">
        <v>0</v>
      </c>
      <c r="AI71" s="26"/>
      <c r="AJ71" s="25"/>
      <c r="AK71">
        <f t="shared" si="12"/>
        <v>1</v>
      </c>
      <c r="AL71">
        <f t="shared" si="9"/>
        <v>0</v>
      </c>
      <c r="AM71">
        <f t="shared" si="10"/>
        <v>0</v>
      </c>
      <c r="AN71">
        <f t="shared" si="11"/>
        <v>1</v>
      </c>
      <c r="FV71" t="s">
        <v>1306</v>
      </c>
      <c r="FW71" t="s">
        <v>1303</v>
      </c>
      <c r="FX71" t="s">
        <v>1301</v>
      </c>
    </row>
    <row r="72" spans="1:180" ht="93.6">
      <c r="A72" s="24" t="s">
        <v>790</v>
      </c>
      <c r="B72" s="25" t="s">
        <v>791</v>
      </c>
      <c r="C72" s="26" t="s">
        <v>792</v>
      </c>
      <c r="D72" s="26"/>
      <c r="E72" s="26"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6" t="s">
        <v>802</v>
      </c>
      <c r="AA72" s="39" t="s">
        <v>77</v>
      </c>
      <c r="AB72" s="39"/>
      <c r="AC72" s="39"/>
      <c r="AD72" s="39"/>
      <c r="AE72" s="39"/>
      <c r="AF72" s="39"/>
      <c r="AG72" s="39"/>
      <c r="AH72" s="39"/>
      <c r="AI72" s="26"/>
      <c r="AJ72" s="25"/>
      <c r="AK72">
        <f t="shared" si="12"/>
        <v>0</v>
      </c>
      <c r="AL72">
        <f t="shared" si="9"/>
        <v>0</v>
      </c>
      <c r="AM72">
        <f t="shared" si="10"/>
        <v>0</v>
      </c>
      <c r="AN72">
        <f t="shared" si="11"/>
        <v>0</v>
      </c>
      <c r="FV72">
        <v>2013</v>
      </c>
      <c r="FW72" s="35" cm="1">
        <f t="array" ref="FW72">SUMPRODUCT((Y$2:Y$1000="PS")*(F$2:F$1000=FV72)*ISNUMBER(SEARCH("minimization",LOWER(Z$2:Z$1000)))*ISNUMBER(SEARCH("search-based",LOWER(AA$2:AA$1000))))</f>
        <v>0</v>
      </c>
      <c r="FX72" s="35" cm="1">
        <f t="array" ref="FX72">SUMPRODUCT((Y$2:Y$1000="PS")*(F$2:F$1000=FV72)*ISNUMBER(SEARCH("minimization",LOWER(Z$2:Z$1000)))*(NOT(ISNUMBER(SEARCH("search-based",LOWER(AA$2:AA$1000))))))</f>
        <v>1</v>
      </c>
    </row>
    <row r="73" spans="1:180" ht="156">
      <c r="A73" s="24" t="s">
        <v>803</v>
      </c>
      <c r="B73" s="25" t="s">
        <v>791</v>
      </c>
      <c r="C73" s="26" t="s">
        <v>804</v>
      </c>
      <c r="D73" s="26"/>
      <c r="E73" s="26"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6" t="s">
        <v>727</v>
      </c>
      <c r="AA73" s="26" t="s">
        <v>408</v>
      </c>
      <c r="AB73" s="26" t="s">
        <v>1372</v>
      </c>
      <c r="AC73" s="26" t="s">
        <v>813</v>
      </c>
      <c r="AD73" s="26" t="s">
        <v>814</v>
      </c>
      <c r="AE73" s="26" t="s">
        <v>815</v>
      </c>
      <c r="AF73" s="26" t="s">
        <v>816</v>
      </c>
      <c r="AG73" s="26" t="s">
        <v>817</v>
      </c>
      <c r="AH73" s="26">
        <v>0</v>
      </c>
      <c r="AI73" s="26"/>
      <c r="AJ73" s="25"/>
      <c r="AK73">
        <f t="shared" si="12"/>
        <v>1</v>
      </c>
      <c r="AL73">
        <f t="shared" si="9"/>
        <v>0</v>
      </c>
      <c r="AM73">
        <f t="shared" si="10"/>
        <v>0</v>
      </c>
      <c r="AN73">
        <f t="shared" si="11"/>
        <v>1</v>
      </c>
      <c r="FV73">
        <v>2014</v>
      </c>
      <c r="FW73" s="35" cm="1">
        <f t="array" ref="FW73">SUMPRODUCT((Y$2:Y$1000="PS")*(F$2:F$1000=FV73)*ISNUMBER(SEARCH("minimization",LOWER(Z$2:Z$1000)))*ISNUMBER(SEARCH("search-based",LOWER(AA$2:AA$1000))))</f>
        <v>0</v>
      </c>
      <c r="FX73" s="35" cm="1">
        <f t="array" ref="FX73">SUMPRODUCT((Y$2:Y$1000="PS")*(F$2:F$1000=FV73)*ISNUMBER(SEARCH("minimization",LOWER(Z$2:Z$1000)))*(NOT(ISNUMBER(SEARCH("search-based",LOWER(AA$2:AA$1000))))))</f>
        <v>0</v>
      </c>
    </row>
    <row r="74" spans="1:180" ht="171.6">
      <c r="A74" s="24" t="s">
        <v>818</v>
      </c>
      <c r="B74" s="25" t="s">
        <v>791</v>
      </c>
      <c r="C74" s="26" t="s">
        <v>819</v>
      </c>
      <c r="D74" s="26"/>
      <c r="E74" s="26"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6" t="s">
        <v>727</v>
      </c>
      <c r="AA74" s="26" t="s">
        <v>408</v>
      </c>
      <c r="AB74" s="26" t="s">
        <v>463</v>
      </c>
      <c r="AC74" s="26"/>
      <c r="AD74" s="26" t="s">
        <v>827</v>
      </c>
      <c r="AE74" s="26" t="s">
        <v>828</v>
      </c>
      <c r="AF74" s="26" t="s">
        <v>829</v>
      </c>
      <c r="AG74" s="26" t="s">
        <v>830</v>
      </c>
      <c r="AH74" s="26">
        <v>0</v>
      </c>
      <c r="AI74" s="26"/>
      <c r="AJ74" s="25"/>
      <c r="AK74">
        <f t="shared" si="12"/>
        <v>1</v>
      </c>
      <c r="AL74">
        <f t="shared" si="9"/>
        <v>0</v>
      </c>
      <c r="AM74">
        <f t="shared" si="10"/>
        <v>0</v>
      </c>
      <c r="AN74">
        <f t="shared" si="11"/>
        <v>1</v>
      </c>
      <c r="FV74">
        <v>2015</v>
      </c>
      <c r="FW74" s="35" cm="1">
        <f t="array" ref="FW74">SUMPRODUCT((Y$2:Y$1000="PS")*(F$2:F$1000=FV74)*ISNUMBER(SEARCH("minimization",LOWER(Z$2:Z$1000)))*ISNUMBER(SEARCH("search-based",LOWER(AA$2:AA$1000))))</f>
        <v>0</v>
      </c>
      <c r="FX74" s="35" cm="1">
        <f t="array" ref="FX74">SUMPRODUCT((Y$2:Y$1000="PS")*(F$2:F$1000=FV74)*ISNUMBER(SEARCH("minimization",LOWER(Z$2:Z$1000)))*(NOT(ISNUMBER(SEARCH("search-based",LOWER(AA$2:AA$1000))))))</f>
        <v>0</v>
      </c>
    </row>
    <row r="75" spans="1:180" ht="78">
      <c r="A75" s="24" t="s">
        <v>831</v>
      </c>
      <c r="B75" s="25" t="s">
        <v>791</v>
      </c>
      <c r="C75" s="26" t="s">
        <v>832</v>
      </c>
      <c r="D75" s="26"/>
      <c r="E75" s="26"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6" t="s">
        <v>802</v>
      </c>
      <c r="AA75" s="26" t="s">
        <v>60</v>
      </c>
      <c r="AB75" s="26" t="s">
        <v>1315</v>
      </c>
      <c r="AC75" s="26" t="s">
        <v>728</v>
      </c>
      <c r="AD75" s="26" t="s">
        <v>841</v>
      </c>
      <c r="AE75" s="26" t="s">
        <v>842</v>
      </c>
      <c r="AF75" s="26" t="s">
        <v>843</v>
      </c>
      <c r="AG75" s="26" t="s">
        <v>66</v>
      </c>
      <c r="AH75" s="26">
        <v>0.5</v>
      </c>
      <c r="AI75" s="26"/>
      <c r="AJ75" s="25"/>
      <c r="AK75">
        <f t="shared" si="12"/>
        <v>1</v>
      </c>
      <c r="AL75">
        <f t="shared" si="9"/>
        <v>0</v>
      </c>
      <c r="AM75">
        <f t="shared" si="10"/>
        <v>0</v>
      </c>
      <c r="AN75">
        <f t="shared" si="11"/>
        <v>1</v>
      </c>
      <c r="FV75">
        <v>2016</v>
      </c>
      <c r="FW75" s="35" cm="1">
        <f t="array" ref="FW75">SUMPRODUCT((Y$2:Y$1000="PS")*(F$2:F$1000=FV75)*ISNUMBER(SEARCH("minimization",LOWER(Z$2:Z$1000)))*ISNUMBER(SEARCH("search-based",LOWER(AA$2:AA$1000))))</f>
        <v>0</v>
      </c>
      <c r="FX75" s="35" cm="1">
        <f t="array" ref="FX75">SUMPRODUCT((Y$2:Y$1000="PS")*(F$2:F$1000=FV75)*ISNUMBER(SEARCH("minimization",LOWER(Z$2:Z$1000)))*(NOT(ISNUMBER(SEARCH("search-based",LOWER(AA$2:AA$1000))))))</f>
        <v>0</v>
      </c>
    </row>
    <row r="76" spans="1:180" ht="187.2">
      <c r="A76" s="24" t="s">
        <v>844</v>
      </c>
      <c r="B76" s="25" t="s">
        <v>791</v>
      </c>
      <c r="C76" s="26" t="s">
        <v>845</v>
      </c>
      <c r="D76" s="26"/>
      <c r="E76" s="26"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6" t="s">
        <v>853</v>
      </c>
      <c r="AA76" s="26" t="s">
        <v>408</v>
      </c>
      <c r="AB76" s="26" t="s">
        <v>1315</v>
      </c>
      <c r="AC76" s="26" t="s">
        <v>728</v>
      </c>
      <c r="AD76" s="26" t="s">
        <v>827</v>
      </c>
      <c r="AE76" s="26" t="s">
        <v>854</v>
      </c>
      <c r="AF76" s="26" t="s">
        <v>855</v>
      </c>
      <c r="AG76" s="26" t="s">
        <v>66</v>
      </c>
      <c r="AH76" s="26">
        <v>0</v>
      </c>
      <c r="AI76" s="26"/>
      <c r="AJ76" s="25"/>
      <c r="AK76">
        <f t="shared" si="12"/>
        <v>1</v>
      </c>
      <c r="AL76">
        <f t="shared" si="9"/>
        <v>0</v>
      </c>
      <c r="AM76">
        <f t="shared" si="10"/>
        <v>0</v>
      </c>
      <c r="AN76">
        <f t="shared" si="11"/>
        <v>1</v>
      </c>
      <c r="FV76">
        <v>2017</v>
      </c>
      <c r="FW76" s="35" cm="1">
        <f t="array" ref="FW76">SUMPRODUCT((Y$2:Y$1000="PS")*(F$2:F$1000=FV76)*ISNUMBER(SEARCH("minimization",LOWER(Z$2:Z$1000)))*ISNUMBER(SEARCH("search-based",LOWER(AA$2:AA$1000))))</f>
        <v>0</v>
      </c>
      <c r="FX76" s="35" cm="1">
        <f t="array" ref="FX76">SUMPRODUCT((Y$2:Y$1000="PS")*(F$2:F$1000=FV76)*ISNUMBER(SEARCH("minimization",LOWER(Z$2:Z$1000)))*(NOT(ISNUMBER(SEARCH("search-based",LOWER(AA$2:AA$1000))))))</f>
        <v>0</v>
      </c>
    </row>
    <row r="77" spans="1:180" ht="140.4">
      <c r="A77" s="24" t="s">
        <v>856</v>
      </c>
      <c r="B77" s="25" t="s">
        <v>791</v>
      </c>
      <c r="C77" s="26" t="s">
        <v>857</v>
      </c>
      <c r="D77" s="26"/>
      <c r="E77" s="26"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6" t="s">
        <v>867</v>
      </c>
      <c r="AA77" s="26" t="s">
        <v>1367</v>
      </c>
      <c r="AB77" s="26" t="s">
        <v>1371</v>
      </c>
      <c r="AC77" s="26" t="s">
        <v>728</v>
      </c>
      <c r="AD77" s="26" t="s">
        <v>827</v>
      </c>
      <c r="AE77" s="26" t="s">
        <v>869</v>
      </c>
      <c r="AF77" s="26" t="s">
        <v>870</v>
      </c>
      <c r="AG77" s="26" t="s">
        <v>871</v>
      </c>
      <c r="AH77" s="26">
        <v>0.5</v>
      </c>
      <c r="AI77" s="26"/>
      <c r="AJ77" s="25"/>
      <c r="AK77">
        <f t="shared" si="12"/>
        <v>1</v>
      </c>
      <c r="AL77">
        <f t="shared" si="9"/>
        <v>0</v>
      </c>
      <c r="AM77">
        <f t="shared" si="10"/>
        <v>1</v>
      </c>
      <c r="AN77">
        <f t="shared" si="11"/>
        <v>0</v>
      </c>
      <c r="FV77">
        <v>2018</v>
      </c>
      <c r="FW77" s="35" cm="1">
        <f t="array" ref="FW77">SUMPRODUCT((Y$2:Y$1000="PS")*(F$2:F$1000=FV77)*ISNUMBER(SEARCH("minimization",LOWER(Z$2:Z$1000)))*ISNUMBER(SEARCH("search-based",LOWER(AA$2:AA$1000))))</f>
        <v>0</v>
      </c>
      <c r="FX77" s="35" cm="1">
        <f t="array" ref="FX77">SUMPRODUCT((Y$2:Y$1000="PS")*(F$2:F$1000=FV77)*ISNUMBER(SEARCH("minimization",LOWER(Z$2:Z$1000)))*(NOT(ISNUMBER(SEARCH("search-based",LOWER(AA$2:AA$1000))))))</f>
        <v>0</v>
      </c>
    </row>
    <row r="78" spans="1:180" ht="124.8">
      <c r="A78" s="24" t="s">
        <v>872</v>
      </c>
      <c r="B78" s="25" t="s">
        <v>791</v>
      </c>
      <c r="C78" s="26" t="s">
        <v>873</v>
      </c>
      <c r="D78" s="26"/>
      <c r="E78" s="26"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6" t="s">
        <v>713</v>
      </c>
      <c r="AA78" s="26" t="s">
        <v>408</v>
      </c>
      <c r="AB78" s="26" t="s">
        <v>1315</v>
      </c>
      <c r="AC78" s="26" t="s">
        <v>728</v>
      </c>
      <c r="AD78" s="26" t="s">
        <v>881</v>
      </c>
      <c r="AE78" s="26" t="s">
        <v>882</v>
      </c>
      <c r="AF78" s="26" t="s">
        <v>763</v>
      </c>
      <c r="AG78" s="26" t="s">
        <v>883</v>
      </c>
      <c r="AH78" s="26">
        <v>1</v>
      </c>
      <c r="AI78" s="26"/>
      <c r="AJ78" s="25"/>
      <c r="AK78">
        <f t="shared" si="12"/>
        <v>1</v>
      </c>
      <c r="AL78">
        <f t="shared" si="9"/>
        <v>0</v>
      </c>
      <c r="AM78">
        <f t="shared" si="10"/>
        <v>0</v>
      </c>
      <c r="AN78">
        <f t="shared" si="11"/>
        <v>1</v>
      </c>
      <c r="FV78">
        <v>2019</v>
      </c>
      <c r="FW78" s="35" cm="1">
        <f t="array" ref="FW78">SUMPRODUCT((Y$2:Y$1000="PS")*(F$2:F$1000=FV78)*ISNUMBER(SEARCH("minimization",LOWER(Z$2:Z$1000)))*ISNUMBER(SEARCH("search-based",LOWER(AA$2:AA$1000))))</f>
        <v>0</v>
      </c>
      <c r="FX78" s="35" cm="1">
        <f t="array" ref="FX78">SUMPRODUCT((Y$2:Y$1000="PS")*(F$2:F$1000=FV78)*ISNUMBER(SEARCH("minimization",LOWER(Z$2:Z$1000)))*(NOT(ISNUMBER(SEARCH("search-based",LOWER(AA$2:AA$1000))))))</f>
        <v>0</v>
      </c>
    </row>
    <row r="79" spans="1:180" ht="202.8">
      <c r="A79" s="24" t="s">
        <v>884</v>
      </c>
      <c r="B79" s="25" t="s">
        <v>791</v>
      </c>
      <c r="C79" s="26" t="s">
        <v>885</v>
      </c>
      <c r="D79" s="26"/>
      <c r="E79" s="26"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6" t="s">
        <v>1051</v>
      </c>
      <c r="AA79" s="26" t="s">
        <v>1392</v>
      </c>
      <c r="AB79" s="26"/>
      <c r="AC79" s="26"/>
      <c r="AD79" s="26"/>
      <c r="AE79" s="26"/>
      <c r="AF79" s="26"/>
      <c r="AG79" s="26"/>
      <c r="AH79" s="26">
        <v>0</v>
      </c>
      <c r="AI79" s="26" t="s">
        <v>751</v>
      </c>
      <c r="AJ79" s="25"/>
      <c r="AK79">
        <f t="shared" si="12"/>
        <v>1</v>
      </c>
      <c r="AL79">
        <f t="shared" si="9"/>
        <v>0</v>
      </c>
      <c r="AM79">
        <f t="shared" si="10"/>
        <v>0</v>
      </c>
      <c r="AN79">
        <f t="shared" si="11"/>
        <v>1</v>
      </c>
      <c r="FV79">
        <v>2020</v>
      </c>
      <c r="FW79" s="35" cm="1">
        <f t="array" ref="FW79">SUMPRODUCT((Y$2:Y$1000="PS")*(F$2:F$1000=FV79)*ISNUMBER(SEARCH("minimization",LOWER(Z$2:Z$1000)))*ISNUMBER(SEARCH("search-based",LOWER(AA$2:AA$1000))))</f>
        <v>0</v>
      </c>
      <c r="FX79" s="35" cm="1">
        <f t="array" ref="FX79">SUMPRODUCT((Y$2:Y$1000="PS")*(F$2:F$1000=FV79)*ISNUMBER(SEARCH("minimization",LOWER(Z$2:Z$1000)))*(NOT(ISNUMBER(SEARCH("search-based",LOWER(AA$2:AA$1000))))))</f>
        <v>0</v>
      </c>
    </row>
    <row r="80" spans="1:180" ht="140.4">
      <c r="A80" s="24" t="s">
        <v>895</v>
      </c>
      <c r="B80" s="25" t="s">
        <v>791</v>
      </c>
      <c r="C80" s="26" t="s">
        <v>896</v>
      </c>
      <c r="D80" s="26"/>
      <c r="E80" s="26"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6" t="s">
        <v>904</v>
      </c>
      <c r="AA80" s="26" t="s">
        <v>1368</v>
      </c>
      <c r="AB80" s="26" t="s">
        <v>1376</v>
      </c>
      <c r="AC80" s="26" t="s">
        <v>813</v>
      </c>
      <c r="AD80" s="26" t="s">
        <v>905</v>
      </c>
      <c r="AE80" s="26" t="s">
        <v>906</v>
      </c>
      <c r="AF80" s="26" t="s">
        <v>907</v>
      </c>
      <c r="AG80" s="26" t="s">
        <v>908</v>
      </c>
      <c r="AH80" s="26">
        <v>1</v>
      </c>
      <c r="AI80" s="26"/>
      <c r="AJ80" s="25"/>
      <c r="AK80">
        <f t="shared" si="12"/>
        <v>1</v>
      </c>
      <c r="AL80">
        <f t="shared" si="9"/>
        <v>0</v>
      </c>
      <c r="AM80">
        <f t="shared" si="10"/>
        <v>1</v>
      </c>
      <c r="AN80">
        <f t="shared" si="11"/>
        <v>0</v>
      </c>
      <c r="FV80">
        <v>2021</v>
      </c>
      <c r="FW80" s="35" cm="1">
        <f t="array" ref="FW80">SUMPRODUCT((Y$2:Y$1000="PS")*(F$2:F$1000=FV80)*ISNUMBER(SEARCH("minimization",LOWER(Z$2:Z$1000)))*ISNUMBER(SEARCH("search-based",LOWER(AA$2:AA$1000))))</f>
        <v>0</v>
      </c>
      <c r="FX80" s="35" cm="1">
        <f t="array" ref="FX80">SUMPRODUCT((Y$2:Y$1000="PS")*(F$2:F$1000=FV80)*ISNUMBER(SEARCH("minimization",LOWER(Z$2:Z$1000)))*(NOT(ISNUMBER(SEARCH("search-based",LOWER(AA$2:AA$1000))))))</f>
        <v>0</v>
      </c>
    </row>
    <row r="81" spans="1:180" ht="156">
      <c r="A81" s="24" t="s">
        <v>909</v>
      </c>
      <c r="B81" s="25" t="s">
        <v>791</v>
      </c>
      <c r="C81" s="26" t="s">
        <v>910</v>
      </c>
      <c r="D81" s="26"/>
      <c r="E81" s="26"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6" t="s">
        <v>918</v>
      </c>
      <c r="AA81" s="26" t="s">
        <v>408</v>
      </c>
      <c r="AB81" s="26" t="s">
        <v>1377</v>
      </c>
      <c r="AC81" s="26" t="s">
        <v>728</v>
      </c>
      <c r="AD81" s="26" t="s">
        <v>919</v>
      </c>
      <c r="AE81" s="26" t="s">
        <v>920</v>
      </c>
      <c r="AF81" s="26" t="s">
        <v>921</v>
      </c>
      <c r="AG81" s="26" t="s">
        <v>66</v>
      </c>
      <c r="AH81" s="26">
        <v>1</v>
      </c>
      <c r="AI81" s="26"/>
      <c r="AJ81" s="25"/>
      <c r="AK81">
        <f t="shared" si="12"/>
        <v>1</v>
      </c>
      <c r="AL81">
        <f t="shared" si="9"/>
        <v>0</v>
      </c>
      <c r="AM81">
        <f t="shared" si="10"/>
        <v>0</v>
      </c>
      <c r="AN81">
        <f t="shared" si="11"/>
        <v>1</v>
      </c>
      <c r="FV81">
        <v>2022</v>
      </c>
      <c r="FW81" s="35" cm="1">
        <f t="array" ref="FW81">SUMPRODUCT((Y$2:Y$1000="PS")*(F$2:F$1000=FV81)*ISNUMBER(SEARCH("minimization",LOWER(Z$2:Z$1000)))*ISNUMBER(SEARCH("search-based",LOWER(AA$2:AA$1000))))</f>
        <v>0</v>
      </c>
      <c r="FX81" s="35" cm="1">
        <f t="array" ref="FX81">SUMPRODUCT((Y$2:Y$1000="PS")*(F$2:F$1000=FV81)*ISNUMBER(SEARCH("minimization",LOWER(Z$2:Z$1000)))*(NOT(ISNUMBER(SEARCH("search-based",LOWER(AA$2:AA$1000))))))</f>
        <v>1</v>
      </c>
    </row>
    <row r="82" spans="1:180" ht="124.8">
      <c r="A82" s="24"/>
      <c r="B82" s="25"/>
      <c r="C82" s="26" t="s">
        <v>922</v>
      </c>
      <c r="D82" s="26" t="s">
        <v>923</v>
      </c>
      <c r="E82" s="26" t="s">
        <v>924</v>
      </c>
      <c r="F82" s="25">
        <v>2018</v>
      </c>
      <c r="G82" s="27"/>
      <c r="H82" s="27"/>
      <c r="I82" s="27"/>
      <c r="J82" s="25" t="s">
        <v>925</v>
      </c>
      <c r="K82" s="25"/>
      <c r="L82" s="25"/>
      <c r="M82" s="25"/>
      <c r="N82" s="25"/>
      <c r="O82" s="25"/>
      <c r="P82" s="25"/>
      <c r="Q82" s="25"/>
      <c r="R82" s="25"/>
      <c r="S82" s="25"/>
      <c r="T82" s="25"/>
      <c r="U82" s="25"/>
      <c r="V82" s="25"/>
      <c r="W82" s="25"/>
      <c r="X82" s="25"/>
      <c r="Y82" s="27" t="s">
        <v>77</v>
      </c>
      <c r="Z82" s="26" t="s">
        <v>926</v>
      </c>
      <c r="AA82" s="39" t="s">
        <v>77</v>
      </c>
      <c r="AB82" s="39"/>
      <c r="AC82" s="39"/>
      <c r="AD82" s="39"/>
      <c r="AE82" s="39"/>
      <c r="AF82" s="39"/>
      <c r="AG82" s="39"/>
      <c r="AH82" s="39"/>
      <c r="AI82" s="26"/>
      <c r="AJ82" s="25"/>
      <c r="AK82">
        <f t="shared" si="12"/>
        <v>0</v>
      </c>
      <c r="AL82">
        <f t="shared" si="9"/>
        <v>0</v>
      </c>
      <c r="AM82">
        <f t="shared" si="10"/>
        <v>0</v>
      </c>
      <c r="AN82">
        <f t="shared" si="11"/>
        <v>0</v>
      </c>
      <c r="FV82">
        <v>2023</v>
      </c>
      <c r="FW82" s="35" cm="1">
        <f t="array" ref="FW82">SUMPRODUCT((Y$2:Y$1000="PS")*(F$2:F$1000=FV82)*ISNUMBER(SEARCH("minimization",LOWER(Z$2:Z$1000)))*ISNUMBER(SEARCH("search-based",LOWER(AA$2:AA$1000))))</f>
        <v>0</v>
      </c>
      <c r="FX82" s="35" cm="1">
        <f t="array" ref="FX82">SUMPRODUCT((Y$2:Y$1000="PS")*(F$2:F$1000=FV82)*ISNUMBER(SEARCH("minimization",LOWER(Z$2:Z$1000)))*(NOT(ISNUMBER(SEARCH("search-based",LOWER(AA$2:AA$1000))))))</f>
        <v>0</v>
      </c>
    </row>
    <row r="83" spans="1:180" ht="140.4">
      <c r="A83" s="24"/>
      <c r="B83" s="25"/>
      <c r="C83" s="26" t="s">
        <v>927</v>
      </c>
      <c r="D83" s="26" t="s">
        <v>928</v>
      </c>
      <c r="E83" s="26" t="s">
        <v>929</v>
      </c>
      <c r="F83" s="25">
        <v>2017</v>
      </c>
      <c r="G83" s="27"/>
      <c r="H83" s="27"/>
      <c r="I83" s="27"/>
      <c r="J83" s="25" t="s">
        <v>930</v>
      </c>
      <c r="K83" s="25"/>
      <c r="L83" s="25"/>
      <c r="M83" s="25"/>
      <c r="N83" s="25"/>
      <c r="O83" s="25"/>
      <c r="P83" s="25"/>
      <c r="Q83" s="25"/>
      <c r="R83" s="25"/>
      <c r="S83" s="25"/>
      <c r="T83" s="25"/>
      <c r="U83" s="25"/>
      <c r="V83" s="25"/>
      <c r="W83" s="25"/>
      <c r="X83" s="25"/>
      <c r="Y83" s="27" t="s">
        <v>58</v>
      </c>
      <c r="Z83" s="26" t="s">
        <v>786</v>
      </c>
      <c r="AA83" s="26" t="s">
        <v>408</v>
      </c>
      <c r="AB83" s="26" t="s">
        <v>550</v>
      </c>
      <c r="AC83" s="26" t="s">
        <v>728</v>
      </c>
      <c r="AD83" s="26" t="s">
        <v>931</v>
      </c>
      <c r="AE83" s="26" t="s">
        <v>932</v>
      </c>
      <c r="AF83" s="26" t="s">
        <v>933</v>
      </c>
      <c r="AG83" s="26" t="s">
        <v>66</v>
      </c>
      <c r="AH83" s="26">
        <v>0</v>
      </c>
      <c r="AI83" s="26"/>
      <c r="AJ83" s="25"/>
      <c r="AK83">
        <f t="shared" si="12"/>
        <v>1</v>
      </c>
      <c r="AL83">
        <f t="shared" si="9"/>
        <v>0</v>
      </c>
      <c r="AM83">
        <f t="shared" si="10"/>
        <v>0</v>
      </c>
      <c r="AN83">
        <f t="shared" si="11"/>
        <v>1</v>
      </c>
      <c r="FV83">
        <v>2024</v>
      </c>
      <c r="FW83" s="35" cm="1">
        <f t="array" ref="FW83">SUMPRODUCT((Y$2:Y$1000="PS")*(F$2:F$1000=FV83)*ISNUMBER(SEARCH("minimization",LOWER(Z$2:Z$1000)))*ISNUMBER(SEARCH("search-based",LOWER(AA$2:AA$1000))))</f>
        <v>1</v>
      </c>
      <c r="FX83" s="35" cm="1">
        <f t="array" ref="FX83">SUMPRODUCT((Y$2:Y$1000="PS")*(F$2:F$1000=FV83)*ISNUMBER(SEARCH("minimization",LOWER(Z$2:Z$1000)))*(NOT(ISNUMBER(SEARCH("search-based",LOWER(AA$2:AA$1000))))))</f>
        <v>0</v>
      </c>
    </row>
    <row r="84" spans="1:180" ht="171.6">
      <c r="A84" s="24"/>
      <c r="B84" s="25"/>
      <c r="C84" s="26" t="s">
        <v>934</v>
      </c>
      <c r="D84" s="26" t="s">
        <v>935</v>
      </c>
      <c r="E84" s="26" t="s">
        <v>936</v>
      </c>
      <c r="F84" s="25">
        <v>2019</v>
      </c>
      <c r="G84" s="27"/>
      <c r="H84" s="27"/>
      <c r="I84" s="27"/>
      <c r="J84" s="25" t="s">
        <v>937</v>
      </c>
      <c r="K84" s="25"/>
      <c r="L84" s="25"/>
      <c r="M84" s="25"/>
      <c r="N84" s="25"/>
      <c r="O84" s="25"/>
      <c r="P84" s="25"/>
      <c r="Q84" s="25"/>
      <c r="R84" s="25"/>
      <c r="S84" s="25"/>
      <c r="T84" s="25"/>
      <c r="U84" s="25"/>
      <c r="V84" s="25"/>
      <c r="W84" s="25"/>
      <c r="X84" s="25"/>
      <c r="Y84" s="27" t="s">
        <v>58</v>
      </c>
      <c r="Z84" s="26" t="s">
        <v>938</v>
      </c>
      <c r="AA84" s="26" t="s">
        <v>408</v>
      </c>
      <c r="AB84" s="26" t="s">
        <v>1315</v>
      </c>
      <c r="AC84" s="26" t="s">
        <v>813</v>
      </c>
      <c r="AD84" s="26" t="s">
        <v>939</v>
      </c>
      <c r="AE84" s="26" t="s">
        <v>940</v>
      </c>
      <c r="AF84" s="26" t="s">
        <v>941</v>
      </c>
      <c r="AG84" s="26" t="s">
        <v>66</v>
      </c>
      <c r="AH84" s="26">
        <v>0</v>
      </c>
      <c r="AI84" s="26"/>
      <c r="AJ84" s="25"/>
      <c r="AK84">
        <f t="shared" si="12"/>
        <v>1</v>
      </c>
      <c r="AL84">
        <f t="shared" si="9"/>
        <v>0</v>
      </c>
      <c r="AM84">
        <f t="shared" si="10"/>
        <v>0</v>
      </c>
      <c r="AN84">
        <f t="shared" si="11"/>
        <v>1</v>
      </c>
      <c r="FV84">
        <v>2025</v>
      </c>
      <c r="FW84" s="35" cm="1">
        <f t="array" ref="FW84">SUMPRODUCT((Y$2:Y$1000="PS")*(F$2:F$1000=FV84)*ISNUMBER(SEARCH("minimization",LOWER(Z$2:Z$1000)))*ISNUMBER(SEARCH("search-based",LOWER(AA$2:AA$1000))))</f>
        <v>0</v>
      </c>
      <c r="FX84" s="35" cm="1">
        <f t="array" ref="FX84">SUMPRODUCT((Y$2:Y$1000="PS")*(F$2:F$1000=FV84)*ISNUMBER(SEARCH("minimization",LOWER(Z$2:Z$1000)))*(NOT(ISNUMBER(SEARCH("search-based",LOWER(AA$2:AA$1000))))))</f>
        <v>0</v>
      </c>
    </row>
    <row r="85" spans="1:180" ht="124.8">
      <c r="A85" s="24"/>
      <c r="B85" s="25"/>
      <c r="C85" s="26" t="s">
        <v>942</v>
      </c>
      <c r="D85" s="26" t="s">
        <v>943</v>
      </c>
      <c r="E85" s="26" t="s">
        <v>944</v>
      </c>
      <c r="F85" s="25">
        <v>2019</v>
      </c>
      <c r="G85" s="27"/>
      <c r="H85" s="27"/>
      <c r="I85" s="27"/>
      <c r="J85" s="25" t="s">
        <v>945</v>
      </c>
      <c r="K85" s="25"/>
      <c r="L85" s="25"/>
      <c r="M85" s="25"/>
      <c r="N85" s="25"/>
      <c r="O85" s="25"/>
      <c r="P85" s="25"/>
      <c r="Q85" s="25"/>
      <c r="R85" s="25"/>
      <c r="S85" s="25"/>
      <c r="T85" s="25"/>
      <c r="U85" s="25"/>
      <c r="V85" s="25"/>
      <c r="W85" s="25"/>
      <c r="X85" s="25"/>
      <c r="Y85" s="27" t="s">
        <v>58</v>
      </c>
      <c r="Z85" s="26" t="s">
        <v>727</v>
      </c>
      <c r="AA85" s="26" t="s">
        <v>408</v>
      </c>
      <c r="AB85" s="26" t="s">
        <v>1315</v>
      </c>
      <c r="AC85" s="26" t="s">
        <v>946</v>
      </c>
      <c r="AD85" s="26" t="s">
        <v>947</v>
      </c>
      <c r="AE85" s="26" t="s">
        <v>940</v>
      </c>
      <c r="AF85" s="26" t="s">
        <v>948</v>
      </c>
      <c r="AG85" s="26" t="s">
        <v>66</v>
      </c>
      <c r="AH85" s="26">
        <v>1</v>
      </c>
      <c r="AI85" s="26" t="s">
        <v>949</v>
      </c>
      <c r="AJ85" s="25"/>
      <c r="AK85">
        <f t="shared" si="12"/>
        <v>1</v>
      </c>
      <c r="AL85">
        <f t="shared" si="9"/>
        <v>0</v>
      </c>
      <c r="AM85">
        <f t="shared" si="10"/>
        <v>0</v>
      </c>
      <c r="AN85">
        <f t="shared" si="11"/>
        <v>1</v>
      </c>
    </row>
    <row r="86" spans="1:180" ht="78">
      <c r="A86" s="24"/>
      <c r="B86" s="25"/>
      <c r="C86" s="26" t="s">
        <v>950</v>
      </c>
      <c r="D86" s="26" t="s">
        <v>951</v>
      </c>
      <c r="E86" s="26" t="s">
        <v>952</v>
      </c>
      <c r="F86" s="25">
        <v>2016</v>
      </c>
      <c r="G86" s="27"/>
      <c r="H86" s="27"/>
      <c r="I86" s="27"/>
      <c r="J86" s="25" t="s">
        <v>953</v>
      </c>
      <c r="K86" s="25"/>
      <c r="L86" s="25"/>
      <c r="M86" s="25"/>
      <c r="N86" s="25"/>
      <c r="O86" s="25"/>
      <c r="P86" s="25"/>
      <c r="Q86" s="25"/>
      <c r="R86" s="25"/>
      <c r="S86" s="25"/>
      <c r="T86" s="25"/>
      <c r="U86" s="25"/>
      <c r="V86" s="25"/>
      <c r="W86" s="25"/>
      <c r="X86" s="25"/>
      <c r="Y86" s="27" t="s">
        <v>44</v>
      </c>
      <c r="Z86" s="26" t="s">
        <v>954</v>
      </c>
      <c r="AA86" s="39" t="s">
        <v>44</v>
      </c>
      <c r="AB86" s="39"/>
      <c r="AC86" s="39"/>
      <c r="AD86" s="39"/>
      <c r="AE86" s="39"/>
      <c r="AF86" s="39"/>
      <c r="AG86" s="39"/>
      <c r="AH86" s="39"/>
      <c r="AI86" s="26"/>
      <c r="AJ86" s="25"/>
      <c r="AK86">
        <f t="shared" si="12"/>
        <v>0</v>
      </c>
      <c r="AL86">
        <f t="shared" si="9"/>
        <v>0</v>
      </c>
      <c r="AM86">
        <f t="shared" si="10"/>
        <v>0</v>
      </c>
      <c r="AN86">
        <f t="shared" si="11"/>
        <v>0</v>
      </c>
    </row>
    <row r="87" spans="1:180" ht="124.8">
      <c r="A87" s="24"/>
      <c r="B87" s="25"/>
      <c r="C87" s="26" t="s">
        <v>955</v>
      </c>
      <c r="D87" s="26" t="s">
        <v>956</v>
      </c>
      <c r="E87" s="26" t="s">
        <v>957</v>
      </c>
      <c r="F87" s="25">
        <v>2018</v>
      </c>
      <c r="G87" s="27"/>
      <c r="H87" s="27"/>
      <c r="I87" s="27"/>
      <c r="J87" s="25" t="s">
        <v>795</v>
      </c>
      <c r="K87" s="25"/>
      <c r="L87" s="25"/>
      <c r="M87" s="25"/>
      <c r="N87" s="25"/>
      <c r="O87" s="25"/>
      <c r="P87" s="25"/>
      <c r="Q87" s="25"/>
      <c r="R87" s="25"/>
      <c r="S87" s="25"/>
      <c r="T87" s="25"/>
      <c r="U87" s="25"/>
      <c r="V87" s="25"/>
      <c r="W87" s="25"/>
      <c r="X87" s="25"/>
      <c r="Y87" s="27" t="s">
        <v>44</v>
      </c>
      <c r="Z87" s="26" t="s">
        <v>802</v>
      </c>
      <c r="AA87" s="39" t="s">
        <v>44</v>
      </c>
      <c r="AB87" s="39"/>
      <c r="AC87" s="39"/>
      <c r="AD87" s="39"/>
      <c r="AE87" s="39"/>
      <c r="AF87" s="39"/>
      <c r="AG87" s="39"/>
      <c r="AH87" s="39"/>
      <c r="AI87" s="26"/>
      <c r="AJ87" s="25"/>
      <c r="AK87">
        <f t="shared" si="12"/>
        <v>0</v>
      </c>
      <c r="AL87">
        <f t="shared" si="9"/>
        <v>0</v>
      </c>
      <c r="AM87">
        <f t="shared" si="10"/>
        <v>0</v>
      </c>
      <c r="AN87">
        <f t="shared" si="11"/>
        <v>0</v>
      </c>
    </row>
    <row r="88" spans="1:180" ht="109.2">
      <c r="A88" s="24"/>
      <c r="B88" s="25"/>
      <c r="C88" s="26" t="s">
        <v>958</v>
      </c>
      <c r="D88" s="26" t="s">
        <v>959</v>
      </c>
      <c r="E88" s="26" t="s">
        <v>960</v>
      </c>
      <c r="F88" s="25">
        <v>2018</v>
      </c>
      <c r="G88" s="27"/>
      <c r="H88" s="27"/>
      <c r="I88" s="27"/>
      <c r="J88" s="25" t="s">
        <v>961</v>
      </c>
      <c r="K88" s="25"/>
      <c r="L88" s="25"/>
      <c r="M88" s="25"/>
      <c r="N88" s="25"/>
      <c r="O88" s="25"/>
      <c r="P88" s="25"/>
      <c r="Q88" s="25"/>
      <c r="R88" s="25"/>
      <c r="S88" s="25"/>
      <c r="T88" s="25"/>
      <c r="U88" s="25"/>
      <c r="V88" s="25"/>
      <c r="W88" s="25"/>
      <c r="X88" s="25"/>
      <c r="Y88" s="27" t="s">
        <v>77</v>
      </c>
      <c r="Z88" s="26" t="s">
        <v>926</v>
      </c>
      <c r="AA88" s="39" t="s">
        <v>77</v>
      </c>
      <c r="AB88" s="39"/>
      <c r="AC88" s="39"/>
      <c r="AD88" s="39"/>
      <c r="AE88" s="39"/>
      <c r="AF88" s="39"/>
      <c r="AG88" s="39"/>
      <c r="AH88" s="39"/>
      <c r="AI88" s="26"/>
      <c r="AJ88" s="25"/>
      <c r="AK88">
        <f t="shared" si="12"/>
        <v>0</v>
      </c>
      <c r="AL88">
        <f t="shared" si="9"/>
        <v>0</v>
      </c>
      <c r="AM88">
        <f t="shared" si="10"/>
        <v>0</v>
      </c>
      <c r="AN88">
        <f t="shared" si="11"/>
        <v>0</v>
      </c>
    </row>
    <row r="89" spans="1:180" ht="109.2">
      <c r="A89" s="24"/>
      <c r="B89" s="25"/>
      <c r="C89" s="26" t="s">
        <v>962</v>
      </c>
      <c r="D89" s="26" t="s">
        <v>963</v>
      </c>
      <c r="E89" s="26" t="s">
        <v>964</v>
      </c>
      <c r="F89" s="25">
        <v>2019</v>
      </c>
      <c r="G89" s="27"/>
      <c r="H89" s="27"/>
      <c r="I89" s="27"/>
      <c r="J89" s="25" t="s">
        <v>965</v>
      </c>
      <c r="K89" s="25"/>
      <c r="L89" s="25"/>
      <c r="M89" s="25"/>
      <c r="N89" s="25"/>
      <c r="O89" s="25"/>
      <c r="P89" s="25"/>
      <c r="Q89" s="25"/>
      <c r="R89" s="25"/>
      <c r="S89" s="25"/>
      <c r="T89" s="25"/>
      <c r="U89" s="25"/>
      <c r="V89" s="25"/>
      <c r="W89" s="25"/>
      <c r="X89" s="25"/>
      <c r="Y89" s="27" t="s">
        <v>58</v>
      </c>
      <c r="Z89" s="26" t="s">
        <v>727</v>
      </c>
      <c r="AA89" s="26" t="s">
        <v>966</v>
      </c>
      <c r="AB89" s="26" t="s">
        <v>1315</v>
      </c>
      <c r="AC89" s="26" t="s">
        <v>728</v>
      </c>
      <c r="AD89" s="26" t="s">
        <v>967</v>
      </c>
      <c r="AE89" s="26" t="s">
        <v>968</v>
      </c>
      <c r="AF89" s="26" t="s">
        <v>969</v>
      </c>
      <c r="AG89" s="26" t="s">
        <v>970</v>
      </c>
      <c r="AH89" s="26">
        <v>0.5</v>
      </c>
      <c r="AI89" s="26" t="s">
        <v>971</v>
      </c>
      <c r="AJ89" s="25"/>
      <c r="AK89">
        <f t="shared" si="12"/>
        <v>1</v>
      </c>
      <c r="AL89">
        <f t="shared" si="9"/>
        <v>0</v>
      </c>
      <c r="AM89">
        <f t="shared" si="10"/>
        <v>0</v>
      </c>
      <c r="AN89">
        <f t="shared" si="11"/>
        <v>1</v>
      </c>
    </row>
    <row r="90" spans="1:180" ht="409.6">
      <c r="A90" s="24"/>
      <c r="B90" s="25"/>
      <c r="C90" s="26" t="s">
        <v>972</v>
      </c>
      <c r="D90" s="26" t="s">
        <v>973</v>
      </c>
      <c r="E90" s="26" t="s">
        <v>974</v>
      </c>
      <c r="F90" s="25">
        <v>2019</v>
      </c>
      <c r="G90" s="27"/>
      <c r="H90" s="27"/>
      <c r="I90" s="27"/>
      <c r="J90" s="26" t="s">
        <v>975</v>
      </c>
      <c r="K90" s="25"/>
      <c r="L90" s="25"/>
      <c r="M90" s="25"/>
      <c r="N90" s="25"/>
      <c r="O90" s="25"/>
      <c r="P90" s="25"/>
      <c r="Q90" s="25"/>
      <c r="R90" s="25"/>
      <c r="S90" s="25"/>
      <c r="T90" s="25"/>
      <c r="U90" s="25"/>
      <c r="V90" s="25"/>
      <c r="W90" s="25"/>
      <c r="X90" s="25"/>
      <c r="Y90" s="27" t="s">
        <v>58</v>
      </c>
      <c r="Z90" s="26" t="s">
        <v>976</v>
      </c>
      <c r="AA90" s="26" t="s">
        <v>1368</v>
      </c>
      <c r="AB90" s="26" t="s">
        <v>977</v>
      </c>
      <c r="AC90" s="26" t="s">
        <v>728</v>
      </c>
      <c r="AD90" s="26" t="s">
        <v>978</v>
      </c>
      <c r="AE90" s="26" t="s">
        <v>979</v>
      </c>
      <c r="AF90" s="26" t="s">
        <v>870</v>
      </c>
      <c r="AG90" s="26" t="s">
        <v>980</v>
      </c>
      <c r="AH90" s="26">
        <v>0</v>
      </c>
      <c r="AI90" s="26"/>
      <c r="AJ90" s="25"/>
      <c r="AK90">
        <f t="shared" si="12"/>
        <v>1</v>
      </c>
      <c r="AL90">
        <f t="shared" si="9"/>
        <v>0</v>
      </c>
      <c r="AM90">
        <f t="shared" si="10"/>
        <v>1</v>
      </c>
      <c r="AN90">
        <f t="shared" si="11"/>
        <v>1</v>
      </c>
    </row>
    <row r="91" spans="1:180" ht="124.8">
      <c r="A91" s="24"/>
      <c r="B91" s="25"/>
      <c r="C91" s="26" t="s">
        <v>981</v>
      </c>
      <c r="D91" s="26" t="s">
        <v>943</v>
      </c>
      <c r="E91" s="26" t="s">
        <v>982</v>
      </c>
      <c r="F91" s="25">
        <v>2013</v>
      </c>
      <c r="G91" s="27"/>
      <c r="H91" s="27"/>
      <c r="I91" s="27"/>
      <c r="J91" s="25" t="s">
        <v>265</v>
      </c>
      <c r="K91" s="25"/>
      <c r="L91" s="25"/>
      <c r="M91" s="25"/>
      <c r="N91" s="25"/>
      <c r="O91" s="25"/>
      <c r="P91" s="25"/>
      <c r="Q91" s="25"/>
      <c r="R91" s="25"/>
      <c r="S91" s="25"/>
      <c r="T91" s="25"/>
      <c r="U91" s="25"/>
      <c r="V91" s="25"/>
      <c r="W91" s="25"/>
      <c r="X91" s="25"/>
      <c r="Y91" s="27" t="s">
        <v>58</v>
      </c>
      <c r="Z91" s="26" t="s">
        <v>983</v>
      </c>
      <c r="AA91" s="26" t="s">
        <v>90</v>
      </c>
      <c r="AB91" s="26" t="s">
        <v>1372</v>
      </c>
      <c r="AC91" s="26" t="s">
        <v>728</v>
      </c>
      <c r="AD91" s="26" t="s">
        <v>984</v>
      </c>
      <c r="AE91" s="26" t="s">
        <v>985</v>
      </c>
      <c r="AF91" s="26" t="s">
        <v>986</v>
      </c>
      <c r="AG91" s="26" t="s">
        <v>66</v>
      </c>
      <c r="AH91" s="26">
        <v>0</v>
      </c>
      <c r="AI91" s="26"/>
      <c r="AJ91" s="25"/>
      <c r="AK91">
        <f t="shared" si="12"/>
        <v>1</v>
      </c>
      <c r="AL91">
        <f t="shared" si="9"/>
        <v>0</v>
      </c>
      <c r="AM91">
        <f t="shared" si="10"/>
        <v>0</v>
      </c>
      <c r="AN91">
        <f t="shared" si="11"/>
        <v>1</v>
      </c>
    </row>
    <row r="92" spans="1:180" ht="327.60000000000002">
      <c r="A92" s="24"/>
      <c r="B92" s="25"/>
      <c r="C92" s="26" t="s">
        <v>987</v>
      </c>
      <c r="D92" s="26" t="s">
        <v>478</v>
      </c>
      <c r="E92" s="26" t="s">
        <v>988</v>
      </c>
      <c r="F92" s="25">
        <v>2016</v>
      </c>
      <c r="G92" s="27"/>
      <c r="H92" s="27"/>
      <c r="I92" s="27"/>
      <c r="J92" s="25" t="s">
        <v>989</v>
      </c>
      <c r="K92" s="25"/>
      <c r="L92" s="25"/>
      <c r="M92" s="25"/>
      <c r="N92" s="25"/>
      <c r="O92" s="25"/>
      <c r="P92" s="25"/>
      <c r="Q92" s="25"/>
      <c r="R92" s="25"/>
      <c r="S92" s="25"/>
      <c r="T92" s="25"/>
      <c r="U92" s="25"/>
      <c r="V92" s="25"/>
      <c r="W92" s="25"/>
      <c r="X92" s="25"/>
      <c r="Y92" s="27" t="s">
        <v>58</v>
      </c>
      <c r="Z92" s="26" t="s">
        <v>954</v>
      </c>
      <c r="AA92" s="26" t="s">
        <v>408</v>
      </c>
      <c r="AB92" s="26" t="s">
        <v>1315</v>
      </c>
      <c r="AC92" s="26" t="s">
        <v>728</v>
      </c>
      <c r="AD92" s="26" t="s">
        <v>990</v>
      </c>
      <c r="AE92" s="26" t="s">
        <v>991</v>
      </c>
      <c r="AF92" s="26" t="s">
        <v>992</v>
      </c>
      <c r="AG92" s="26" t="s">
        <v>993</v>
      </c>
      <c r="AH92" s="26">
        <v>0</v>
      </c>
      <c r="AI92" s="26"/>
      <c r="AJ92" s="25"/>
      <c r="AK92">
        <f t="shared" si="12"/>
        <v>1</v>
      </c>
      <c r="AL92">
        <f t="shared" si="9"/>
        <v>0</v>
      </c>
      <c r="AM92">
        <f t="shared" si="10"/>
        <v>0</v>
      </c>
      <c r="AN92">
        <f t="shared" si="11"/>
        <v>1</v>
      </c>
    </row>
    <row r="93" spans="1:180" ht="78">
      <c r="A93" s="24"/>
      <c r="B93" s="25"/>
      <c r="C93" s="26" t="s">
        <v>994</v>
      </c>
      <c r="D93" s="26" t="s">
        <v>995</v>
      </c>
      <c r="E93" s="26" t="s">
        <v>996</v>
      </c>
      <c r="F93" s="25">
        <v>2013</v>
      </c>
      <c r="G93" s="27"/>
      <c r="H93" s="27"/>
      <c r="I93" s="27"/>
      <c r="J93" s="25" t="s">
        <v>997</v>
      </c>
      <c r="K93" s="25"/>
      <c r="L93" s="25"/>
      <c r="M93" s="25"/>
      <c r="N93" s="25"/>
      <c r="O93" s="25"/>
      <c r="P93" s="25"/>
      <c r="Q93" s="25"/>
      <c r="R93" s="25"/>
      <c r="S93" s="25"/>
      <c r="T93" s="25"/>
      <c r="U93" s="25"/>
      <c r="V93" s="25"/>
      <c r="W93" s="25"/>
      <c r="X93" s="25"/>
      <c r="Y93" s="27" t="s">
        <v>44</v>
      </c>
      <c r="Z93" s="26" t="s">
        <v>998</v>
      </c>
      <c r="AA93" s="39" t="s">
        <v>999</v>
      </c>
      <c r="AB93" s="39"/>
      <c r="AC93" s="39"/>
      <c r="AD93" s="39"/>
      <c r="AE93" s="39"/>
      <c r="AF93" s="39"/>
      <c r="AG93" s="39"/>
      <c r="AH93" s="39"/>
      <c r="AI93" s="26"/>
      <c r="AJ93" s="25"/>
      <c r="AK93">
        <f t="shared" si="12"/>
        <v>0</v>
      </c>
      <c r="AL93">
        <f t="shared" si="9"/>
        <v>0</v>
      </c>
      <c r="AM93">
        <f t="shared" si="10"/>
        <v>0</v>
      </c>
      <c r="AN93">
        <f t="shared" si="11"/>
        <v>0</v>
      </c>
    </row>
    <row r="94" spans="1:180" ht="140.4">
      <c r="A94" s="24"/>
      <c r="B94" s="25"/>
      <c r="C94" s="26" t="s">
        <v>1000</v>
      </c>
      <c r="D94" s="26" t="s">
        <v>1001</v>
      </c>
      <c r="E94" s="26" t="s">
        <v>1002</v>
      </c>
      <c r="F94" s="25">
        <v>2014</v>
      </c>
      <c r="G94" s="27"/>
      <c r="H94" s="27"/>
      <c r="I94" s="27"/>
      <c r="J94" s="25" t="s">
        <v>1003</v>
      </c>
      <c r="K94" s="25"/>
      <c r="L94" s="25"/>
      <c r="M94" s="25"/>
      <c r="N94" s="25"/>
      <c r="O94" s="25"/>
      <c r="P94" s="25"/>
      <c r="Q94" s="25"/>
      <c r="R94" s="25"/>
      <c r="S94" s="25"/>
      <c r="T94" s="25"/>
      <c r="U94" s="25"/>
      <c r="V94" s="25"/>
      <c r="W94" s="25"/>
      <c r="X94" s="25"/>
      <c r="Y94" s="27" t="s">
        <v>58</v>
      </c>
      <c r="Z94" s="26" t="s">
        <v>1004</v>
      </c>
      <c r="AA94" s="26" t="s">
        <v>129</v>
      </c>
      <c r="AB94" s="26" t="s">
        <v>1387</v>
      </c>
      <c r="AC94" s="26" t="s">
        <v>813</v>
      </c>
      <c r="AD94" s="26" t="s">
        <v>1005</v>
      </c>
      <c r="AE94" s="26" t="s">
        <v>1006</v>
      </c>
      <c r="AF94" s="26" t="s">
        <v>1007</v>
      </c>
      <c r="AG94" s="26" t="s">
        <v>1008</v>
      </c>
      <c r="AH94" s="26">
        <v>0</v>
      </c>
      <c r="AI94" s="26"/>
      <c r="AJ94" s="25"/>
      <c r="AK94">
        <f t="shared" si="12"/>
        <v>1</v>
      </c>
      <c r="AL94">
        <f t="shared" si="9"/>
        <v>0</v>
      </c>
      <c r="AM94">
        <f t="shared" si="10"/>
        <v>1</v>
      </c>
      <c r="AN94">
        <f t="shared" si="11"/>
        <v>0</v>
      </c>
    </row>
    <row r="95" spans="1:180" ht="109.2">
      <c r="A95" s="24"/>
      <c r="B95" s="25"/>
      <c r="C95" s="26" t="s">
        <v>1009</v>
      </c>
      <c r="D95" s="26" t="s">
        <v>1010</v>
      </c>
      <c r="E95" s="26" t="s">
        <v>1011</v>
      </c>
      <c r="F95" s="25">
        <v>2017</v>
      </c>
      <c r="G95" s="27"/>
      <c r="H95" s="27"/>
      <c r="I95" s="27"/>
      <c r="J95" s="25" t="s">
        <v>1012</v>
      </c>
      <c r="K95" s="25"/>
      <c r="L95" s="25"/>
      <c r="M95" s="25"/>
      <c r="N95" s="25"/>
      <c r="O95" s="25"/>
      <c r="P95" s="25"/>
      <c r="Q95" s="25"/>
      <c r="R95" s="25"/>
      <c r="S95" s="25"/>
      <c r="T95" s="25"/>
      <c r="U95" s="25"/>
      <c r="V95" s="25"/>
      <c r="W95" s="25"/>
      <c r="X95" s="25"/>
      <c r="Y95" s="27" t="s">
        <v>77</v>
      </c>
      <c r="Z95" s="26" t="s">
        <v>1013</v>
      </c>
      <c r="AA95" s="39" t="s">
        <v>77</v>
      </c>
      <c r="AB95" s="39"/>
      <c r="AC95" s="39"/>
      <c r="AD95" s="39"/>
      <c r="AE95" s="39"/>
      <c r="AF95" s="39"/>
      <c r="AG95" s="39"/>
      <c r="AH95" s="39"/>
      <c r="AI95" s="26"/>
      <c r="AJ95" s="25"/>
      <c r="AK95">
        <f t="shared" si="12"/>
        <v>0</v>
      </c>
      <c r="AL95">
        <f t="shared" si="9"/>
        <v>0</v>
      </c>
      <c r="AM95">
        <f t="shared" si="10"/>
        <v>0</v>
      </c>
      <c r="AN95">
        <f t="shared" si="11"/>
        <v>0</v>
      </c>
    </row>
    <row r="96" spans="1:180" ht="409.6">
      <c r="A96" s="2">
        <v>42</v>
      </c>
      <c r="B96" s="2"/>
      <c r="C96" s="2" t="s">
        <v>1014</v>
      </c>
      <c r="D96" s="2" t="s">
        <v>1015</v>
      </c>
      <c r="E96" s="2" t="s">
        <v>1016</v>
      </c>
      <c r="F96" s="2">
        <v>2018</v>
      </c>
      <c r="G96" s="2"/>
      <c r="H96" s="2"/>
      <c r="I96" s="2"/>
      <c r="J96" s="2" t="s">
        <v>1017</v>
      </c>
      <c r="K96" s="2"/>
      <c r="L96" s="2"/>
      <c r="M96" s="2"/>
      <c r="N96" s="2"/>
      <c r="O96" s="2"/>
      <c r="P96" s="2"/>
      <c r="Q96" s="2"/>
      <c r="R96" s="2"/>
      <c r="S96" s="2"/>
      <c r="T96" s="2"/>
      <c r="U96" s="2"/>
      <c r="V96" s="2"/>
      <c r="W96" s="2"/>
      <c r="X96" s="2"/>
      <c r="Y96" s="2" t="s">
        <v>58</v>
      </c>
      <c r="Z96" s="2" t="s">
        <v>1018</v>
      </c>
      <c r="AA96" s="2" t="s">
        <v>1368</v>
      </c>
      <c r="AB96" s="2" t="s">
        <v>1383</v>
      </c>
      <c r="AC96" s="2" t="s">
        <v>1019</v>
      </c>
      <c r="AD96" s="2" t="s">
        <v>1020</v>
      </c>
      <c r="AE96" s="2" t="s">
        <v>1021</v>
      </c>
      <c r="AF96" s="2" t="s">
        <v>1022</v>
      </c>
      <c r="AG96" s="2" t="s">
        <v>1023</v>
      </c>
      <c r="AH96" s="2">
        <v>0</v>
      </c>
      <c r="AI96" s="30" t="s">
        <v>1024</v>
      </c>
      <c r="AK96">
        <f t="shared" si="12"/>
        <v>1</v>
      </c>
      <c r="AL96">
        <f t="shared" si="9"/>
        <v>0</v>
      </c>
      <c r="AM96">
        <f t="shared" si="10"/>
        <v>1</v>
      </c>
      <c r="AN96">
        <f t="shared" si="11"/>
        <v>0</v>
      </c>
    </row>
    <row r="97" spans="1:40" ht="409.6">
      <c r="A97" s="2">
        <v>128</v>
      </c>
      <c r="B97" s="2"/>
      <c r="C97" s="2" t="s">
        <v>1025</v>
      </c>
      <c r="D97" s="2" t="s">
        <v>1026</v>
      </c>
      <c r="E97" s="2" t="s">
        <v>1027</v>
      </c>
      <c r="F97" s="2">
        <v>2020</v>
      </c>
      <c r="G97" s="2"/>
      <c r="H97" s="2"/>
      <c r="I97" s="2"/>
      <c r="J97" s="2" t="s">
        <v>1028</v>
      </c>
      <c r="K97" s="2"/>
      <c r="L97" s="2"/>
      <c r="M97" s="2"/>
      <c r="N97" s="2"/>
      <c r="O97" s="2"/>
      <c r="P97" s="2"/>
      <c r="Q97" s="2"/>
      <c r="R97" s="2"/>
      <c r="S97" s="2"/>
      <c r="T97" s="2"/>
      <c r="U97" s="2"/>
      <c r="V97" s="2"/>
      <c r="W97" s="2"/>
      <c r="X97" s="2"/>
      <c r="Y97" s="2" t="s">
        <v>58</v>
      </c>
      <c r="Z97" s="2" t="s">
        <v>1051</v>
      </c>
      <c r="AA97" s="2" t="s">
        <v>60</v>
      </c>
      <c r="AB97" s="2" t="s">
        <v>1383</v>
      </c>
      <c r="AC97" s="2" t="s">
        <v>1029</v>
      </c>
      <c r="AD97" s="2" t="s">
        <v>1030</v>
      </c>
      <c r="AE97" s="2" t="s">
        <v>1031</v>
      </c>
      <c r="AF97" s="2" t="s">
        <v>1032</v>
      </c>
      <c r="AG97" s="2" t="s">
        <v>66</v>
      </c>
      <c r="AH97" s="2">
        <v>0</v>
      </c>
      <c r="AI97" s="2"/>
      <c r="AK97">
        <f t="shared" si="12"/>
        <v>1</v>
      </c>
      <c r="AL97">
        <f t="shared" si="9"/>
        <v>0</v>
      </c>
      <c r="AM97">
        <f t="shared" si="10"/>
        <v>0</v>
      </c>
      <c r="AN97">
        <f t="shared" si="11"/>
        <v>1</v>
      </c>
    </row>
    <row r="98" spans="1:40" ht="409.6">
      <c r="A98" s="2">
        <v>10</v>
      </c>
      <c r="B98" s="2"/>
      <c r="C98" s="2" t="s">
        <v>1033</v>
      </c>
      <c r="D98" s="2" t="s">
        <v>1034</v>
      </c>
      <c r="E98" s="2" t="s">
        <v>1035</v>
      </c>
      <c r="F98" s="2">
        <v>2021</v>
      </c>
      <c r="G98" s="2"/>
      <c r="H98" s="2"/>
      <c r="I98" s="2"/>
      <c r="J98" s="2" t="s">
        <v>1036</v>
      </c>
      <c r="K98" s="2"/>
      <c r="L98" s="2"/>
      <c r="M98" s="2"/>
      <c r="N98" s="2"/>
      <c r="O98" s="2"/>
      <c r="P98" s="2"/>
      <c r="Q98" s="2"/>
      <c r="R98" s="2"/>
      <c r="S98" s="2"/>
      <c r="T98" s="2"/>
      <c r="U98" s="2"/>
      <c r="V98" s="2"/>
      <c r="W98" s="2"/>
      <c r="X98" s="2"/>
      <c r="Y98" s="2" t="s">
        <v>77</v>
      </c>
      <c r="Z98" s="2" t="s">
        <v>1037</v>
      </c>
      <c r="AA98" s="30" t="s">
        <v>1038</v>
      </c>
      <c r="AB98" s="30"/>
      <c r="AC98" s="30"/>
      <c r="AD98" s="30"/>
      <c r="AE98" s="30"/>
      <c r="AF98" s="30"/>
      <c r="AG98" s="30"/>
      <c r="AH98" s="30"/>
      <c r="AI98" s="2"/>
      <c r="AK98">
        <f t="shared" si="12"/>
        <v>0</v>
      </c>
      <c r="AL98">
        <f t="shared" si="9"/>
        <v>0</v>
      </c>
      <c r="AM98">
        <f t="shared" si="10"/>
        <v>0</v>
      </c>
      <c r="AN98">
        <f t="shared" si="11"/>
        <v>0</v>
      </c>
    </row>
    <row r="99" spans="1:40" ht="409.6">
      <c r="A99" s="2">
        <v>130</v>
      </c>
      <c r="B99" s="2"/>
      <c r="C99" s="2" t="s">
        <v>1039</v>
      </c>
      <c r="D99" s="2" t="s">
        <v>1040</v>
      </c>
      <c r="E99" s="2" t="s">
        <v>1041</v>
      </c>
      <c r="F99" s="2">
        <v>2013</v>
      </c>
      <c r="G99" s="2"/>
      <c r="H99" s="2"/>
      <c r="I99" s="2"/>
      <c r="J99" s="2" t="s">
        <v>1042</v>
      </c>
      <c r="K99" s="2"/>
      <c r="L99" s="2"/>
      <c r="M99" s="2"/>
      <c r="N99" s="2"/>
      <c r="O99" s="2"/>
      <c r="P99" s="2"/>
      <c r="Q99" s="2"/>
      <c r="R99" s="2"/>
      <c r="S99" s="2"/>
      <c r="T99" s="2"/>
      <c r="U99" s="2"/>
      <c r="V99" s="2"/>
      <c r="W99" s="2"/>
      <c r="X99" s="2"/>
      <c r="Y99" s="2" t="s">
        <v>58</v>
      </c>
      <c r="Z99" s="2" t="s">
        <v>1043</v>
      </c>
      <c r="AA99" s="2" t="s">
        <v>966</v>
      </c>
      <c r="AB99" s="2" t="s">
        <v>1388</v>
      </c>
      <c r="AC99" s="2"/>
      <c r="AD99" s="2" t="s">
        <v>1044</v>
      </c>
      <c r="AE99" s="2" t="s">
        <v>1045</v>
      </c>
      <c r="AF99" s="2" t="s">
        <v>1046</v>
      </c>
      <c r="AG99" s="2" t="s">
        <v>66</v>
      </c>
      <c r="AH99" s="2">
        <v>0</v>
      </c>
      <c r="AI99" s="2"/>
      <c r="AK99">
        <f t="shared" si="12"/>
        <v>1</v>
      </c>
      <c r="AL99">
        <f t="shared" si="9"/>
        <v>1</v>
      </c>
      <c r="AM99">
        <f t="shared" si="10"/>
        <v>1</v>
      </c>
      <c r="AN99">
        <f t="shared" si="11"/>
        <v>1</v>
      </c>
    </row>
    <row r="100" spans="1:40" ht="409.6">
      <c r="A100" s="2">
        <v>131</v>
      </c>
      <c r="B100" s="2"/>
      <c r="C100" s="2" t="s">
        <v>1047</v>
      </c>
      <c r="D100" s="2" t="s">
        <v>1048</v>
      </c>
      <c r="E100" s="2" t="s">
        <v>1049</v>
      </c>
      <c r="F100" s="2">
        <v>2013</v>
      </c>
      <c r="G100" s="2"/>
      <c r="H100" s="2"/>
      <c r="I100" s="2"/>
      <c r="J100" s="2" t="s">
        <v>1050</v>
      </c>
      <c r="K100" s="2"/>
      <c r="L100" s="2"/>
      <c r="M100" s="2"/>
      <c r="N100" s="2"/>
      <c r="O100" s="2"/>
      <c r="P100" s="2"/>
      <c r="Q100" s="2"/>
      <c r="R100" s="2"/>
      <c r="S100" s="2"/>
      <c r="T100" s="2"/>
      <c r="U100" s="2"/>
      <c r="V100" s="2"/>
      <c r="W100" s="2"/>
      <c r="X100" s="2"/>
      <c r="Y100" s="2" t="s">
        <v>58</v>
      </c>
      <c r="Z100" s="2" t="s">
        <v>1051</v>
      </c>
      <c r="AA100" s="2" t="s">
        <v>408</v>
      </c>
      <c r="AB100" s="2" t="s">
        <v>1383</v>
      </c>
      <c r="AC100" s="2" t="s">
        <v>1029</v>
      </c>
      <c r="AD100" s="2" t="s">
        <v>1052</v>
      </c>
      <c r="AE100" s="2" t="s">
        <v>1053</v>
      </c>
      <c r="AF100" s="2" t="s">
        <v>1054</v>
      </c>
      <c r="AG100" s="2" t="s">
        <v>1055</v>
      </c>
      <c r="AH100" s="2">
        <v>0</v>
      </c>
      <c r="AI100" s="2" t="s">
        <v>1056</v>
      </c>
      <c r="AK100">
        <f t="shared" si="12"/>
        <v>1</v>
      </c>
      <c r="AL100">
        <f t="shared" si="9"/>
        <v>0</v>
      </c>
      <c r="AM100">
        <f t="shared" si="10"/>
        <v>0</v>
      </c>
      <c r="AN100">
        <f t="shared" si="11"/>
        <v>1</v>
      </c>
    </row>
    <row r="101" spans="1:40" ht="409.6">
      <c r="A101" s="2">
        <v>132</v>
      </c>
      <c r="B101" s="2"/>
      <c r="C101" s="2" t="s">
        <v>1057</v>
      </c>
      <c r="D101" s="2" t="s">
        <v>1058</v>
      </c>
      <c r="E101" s="2" t="s">
        <v>1059</v>
      </c>
      <c r="F101" s="2">
        <v>2018</v>
      </c>
      <c r="G101" s="2"/>
      <c r="H101" s="2"/>
      <c r="I101" s="2"/>
      <c r="J101" s="2" t="s">
        <v>1060</v>
      </c>
      <c r="K101" s="2"/>
      <c r="L101" s="2"/>
      <c r="M101" s="2"/>
      <c r="N101" s="2"/>
      <c r="O101" s="2"/>
      <c r="P101" s="2"/>
      <c r="Q101" s="2"/>
      <c r="R101" s="2"/>
      <c r="S101" s="2"/>
      <c r="T101" s="2"/>
      <c r="U101" s="2"/>
      <c r="V101" s="2"/>
      <c r="W101" s="2"/>
      <c r="X101" s="2"/>
      <c r="Y101" s="2" t="s">
        <v>58</v>
      </c>
      <c r="Z101" s="2" t="s">
        <v>1051</v>
      </c>
      <c r="AA101" s="2" t="s">
        <v>1061</v>
      </c>
      <c r="AB101" s="2" t="s">
        <v>207</v>
      </c>
      <c r="AC101" s="2"/>
      <c r="AD101" s="2" t="s">
        <v>1052</v>
      </c>
      <c r="AE101" s="2" t="s">
        <v>1062</v>
      </c>
      <c r="AF101" s="2" t="s">
        <v>1063</v>
      </c>
      <c r="AG101" s="2" t="s">
        <v>66</v>
      </c>
      <c r="AH101" s="2">
        <v>0</v>
      </c>
      <c r="AI101" s="2"/>
      <c r="AK101">
        <f t="shared" si="12"/>
        <v>1</v>
      </c>
      <c r="AL101">
        <f t="shared" si="9"/>
        <v>0</v>
      </c>
      <c r="AM101">
        <f t="shared" si="10"/>
        <v>0</v>
      </c>
      <c r="AN101">
        <f t="shared" si="11"/>
        <v>1</v>
      </c>
    </row>
    <row r="102" spans="1:40" ht="409.6">
      <c r="A102" s="2">
        <v>133</v>
      </c>
      <c r="B102" s="2"/>
      <c r="C102" s="2" t="s">
        <v>1064</v>
      </c>
      <c r="D102" s="2" t="s">
        <v>459</v>
      </c>
      <c r="E102" s="2" t="s">
        <v>1065</v>
      </c>
      <c r="F102" s="2">
        <v>2021</v>
      </c>
      <c r="G102" s="2"/>
      <c r="H102" s="2"/>
      <c r="I102" s="2"/>
      <c r="J102" s="2" t="s">
        <v>1066</v>
      </c>
      <c r="K102" s="2"/>
      <c r="L102" s="2"/>
      <c r="M102" s="2"/>
      <c r="N102" s="2"/>
      <c r="O102" s="2"/>
      <c r="P102" s="2"/>
      <c r="Q102" s="2"/>
      <c r="R102" s="2"/>
      <c r="S102" s="2"/>
      <c r="T102" s="2"/>
      <c r="U102" s="2"/>
      <c r="V102" s="2"/>
      <c r="W102" s="2"/>
      <c r="X102" s="2"/>
      <c r="Y102" s="2" t="s">
        <v>58</v>
      </c>
      <c r="Z102" s="2" t="s">
        <v>1051</v>
      </c>
      <c r="AA102" s="2" t="s">
        <v>1067</v>
      </c>
      <c r="AB102" s="2" t="s">
        <v>1068</v>
      </c>
      <c r="AC102" s="2"/>
      <c r="AD102" s="2" t="s">
        <v>1069</v>
      </c>
      <c r="AE102" s="2" t="s">
        <v>1070</v>
      </c>
      <c r="AF102" s="2" t="s">
        <v>1071</v>
      </c>
      <c r="AG102" s="2" t="s">
        <v>1072</v>
      </c>
      <c r="AH102" s="2">
        <v>1</v>
      </c>
      <c r="AI102" s="2" t="s">
        <v>1073</v>
      </c>
      <c r="AK102">
        <f t="shared" si="12"/>
        <v>1</v>
      </c>
      <c r="AL102">
        <f t="shared" si="9"/>
        <v>0</v>
      </c>
      <c r="AM102">
        <f t="shared" si="10"/>
        <v>0</v>
      </c>
      <c r="AN102">
        <f t="shared" si="11"/>
        <v>1</v>
      </c>
    </row>
    <row r="103" spans="1:40" ht="409.6">
      <c r="A103" s="2">
        <v>134</v>
      </c>
      <c r="B103" s="2"/>
      <c r="C103" s="2" t="s">
        <v>1074</v>
      </c>
      <c r="D103" s="2" t="s">
        <v>1075</v>
      </c>
      <c r="E103" s="2" t="s">
        <v>1076</v>
      </c>
      <c r="F103" s="2">
        <v>2020</v>
      </c>
      <c r="G103" s="2"/>
      <c r="H103" s="2"/>
      <c r="I103" s="2"/>
      <c r="J103" s="2" t="s">
        <v>1077</v>
      </c>
      <c r="K103" s="2"/>
      <c r="L103" s="2"/>
      <c r="M103" s="2"/>
      <c r="N103" s="2"/>
      <c r="O103" s="2"/>
      <c r="P103" s="2"/>
      <c r="Q103" s="2"/>
      <c r="R103" s="2"/>
      <c r="S103" s="2"/>
      <c r="T103" s="2"/>
      <c r="U103" s="2"/>
      <c r="V103" s="2"/>
      <c r="W103" s="2"/>
      <c r="X103" s="2"/>
      <c r="Y103" s="2" t="s">
        <v>58</v>
      </c>
      <c r="Z103" s="2" t="s">
        <v>1051</v>
      </c>
      <c r="AA103" s="2" t="s">
        <v>1078</v>
      </c>
      <c r="AB103" s="2" t="s">
        <v>207</v>
      </c>
      <c r="AC103" s="2"/>
      <c r="AD103" s="2" t="s">
        <v>1079</v>
      </c>
      <c r="AE103" s="2" t="s">
        <v>1080</v>
      </c>
      <c r="AF103" s="2" t="s">
        <v>1081</v>
      </c>
      <c r="AG103" s="2" t="s">
        <v>66</v>
      </c>
      <c r="AH103" s="2">
        <v>1</v>
      </c>
      <c r="AI103" s="2" t="s">
        <v>1082</v>
      </c>
      <c r="AK103">
        <f t="shared" si="12"/>
        <v>1</v>
      </c>
      <c r="AL103">
        <f t="shared" si="9"/>
        <v>0</v>
      </c>
      <c r="AM103">
        <f t="shared" si="10"/>
        <v>0</v>
      </c>
      <c r="AN103">
        <f t="shared" si="11"/>
        <v>1</v>
      </c>
    </row>
    <row r="104" spans="1:40" ht="409.6">
      <c r="A104" s="2">
        <v>135</v>
      </c>
      <c r="B104" s="2"/>
      <c r="C104" s="2" t="s">
        <v>1083</v>
      </c>
      <c r="D104" s="2" t="s">
        <v>1084</v>
      </c>
      <c r="E104" s="2" t="s">
        <v>1085</v>
      </c>
      <c r="F104" s="2">
        <v>2022</v>
      </c>
      <c r="G104" s="2"/>
      <c r="H104" s="2"/>
      <c r="I104" s="2"/>
      <c r="J104" s="2" t="s">
        <v>1086</v>
      </c>
      <c r="K104" s="2"/>
      <c r="L104" s="2"/>
      <c r="M104" s="2"/>
      <c r="N104" s="2"/>
      <c r="O104" s="2"/>
      <c r="P104" s="2"/>
      <c r="Q104" s="2"/>
      <c r="R104" s="2"/>
      <c r="S104" s="2"/>
      <c r="T104" s="2"/>
      <c r="U104" s="2"/>
      <c r="V104" s="2"/>
      <c r="W104" s="2"/>
      <c r="X104" s="2"/>
      <c r="Y104" s="2" t="s">
        <v>58</v>
      </c>
      <c r="Z104" s="2" t="s">
        <v>1051</v>
      </c>
      <c r="AA104" s="2" t="s">
        <v>1087</v>
      </c>
      <c r="AB104" s="2" t="s">
        <v>207</v>
      </c>
      <c r="AC104" s="2"/>
      <c r="AD104" s="2" t="s">
        <v>1079</v>
      </c>
      <c r="AE104" s="2" t="s">
        <v>1088</v>
      </c>
      <c r="AF104" s="2" t="s">
        <v>1089</v>
      </c>
      <c r="AG104" s="2" t="s">
        <v>1090</v>
      </c>
      <c r="AH104" s="2">
        <v>1</v>
      </c>
      <c r="AI104" s="2" t="s">
        <v>1082</v>
      </c>
      <c r="AK104">
        <f t="shared" si="12"/>
        <v>1</v>
      </c>
      <c r="AL104">
        <f t="shared" si="9"/>
        <v>0</v>
      </c>
      <c r="AM104">
        <f t="shared" si="10"/>
        <v>0</v>
      </c>
      <c r="AN104">
        <f t="shared" si="11"/>
        <v>1</v>
      </c>
    </row>
    <row r="105" spans="1:40" ht="409.6">
      <c r="A105" s="2">
        <v>136</v>
      </c>
      <c r="B105" s="2"/>
      <c r="C105" s="2" t="s">
        <v>1091</v>
      </c>
      <c r="D105" s="2" t="s">
        <v>1092</v>
      </c>
      <c r="E105" s="2" t="s">
        <v>1093</v>
      </c>
      <c r="F105" s="2">
        <v>2019</v>
      </c>
      <c r="G105" s="2"/>
      <c r="H105" s="2"/>
      <c r="I105" s="2"/>
      <c r="J105" s="2" t="s">
        <v>1094</v>
      </c>
      <c r="K105" s="2"/>
      <c r="L105" s="2"/>
      <c r="M105" s="2"/>
      <c r="N105" s="2"/>
      <c r="O105" s="2"/>
      <c r="P105" s="2"/>
      <c r="Q105" s="2"/>
      <c r="R105" s="2"/>
      <c r="S105" s="2"/>
      <c r="T105" s="2"/>
      <c r="U105" s="2"/>
      <c r="V105" s="2"/>
      <c r="W105" s="2"/>
      <c r="X105" s="2"/>
      <c r="Y105" s="2" t="s">
        <v>58</v>
      </c>
      <c r="Z105" s="2" t="s">
        <v>1051</v>
      </c>
      <c r="AA105" s="2" t="s">
        <v>408</v>
      </c>
      <c r="AB105" s="2" t="s">
        <v>1383</v>
      </c>
      <c r="AC105" s="2" t="s">
        <v>1095</v>
      </c>
      <c r="AD105" s="2" t="s">
        <v>1079</v>
      </c>
      <c r="AE105" s="2"/>
      <c r="AF105" s="2" t="s">
        <v>1054</v>
      </c>
      <c r="AG105" s="2" t="s">
        <v>1096</v>
      </c>
      <c r="AH105" s="2">
        <v>0</v>
      </c>
      <c r="AI105" s="2"/>
      <c r="AK105">
        <f t="shared" si="12"/>
        <v>1</v>
      </c>
      <c r="AL105">
        <f t="shared" si="9"/>
        <v>0</v>
      </c>
      <c r="AM105">
        <f t="shared" si="10"/>
        <v>0</v>
      </c>
      <c r="AN105">
        <f t="shared" si="11"/>
        <v>1</v>
      </c>
    </row>
    <row r="106" spans="1:40" ht="409.6">
      <c r="A106" s="2">
        <v>137</v>
      </c>
      <c r="B106" s="2"/>
      <c r="C106" s="2" t="s">
        <v>1097</v>
      </c>
      <c r="D106" s="2" t="s">
        <v>1098</v>
      </c>
      <c r="E106" s="2" t="s">
        <v>1099</v>
      </c>
      <c r="F106" s="2">
        <v>2020</v>
      </c>
      <c r="G106" s="2"/>
      <c r="H106" s="2"/>
      <c r="I106" s="2"/>
      <c r="J106" s="2" t="s">
        <v>1100</v>
      </c>
      <c r="K106" s="2"/>
      <c r="L106" s="2"/>
      <c r="M106" s="2"/>
      <c r="N106" s="2"/>
      <c r="O106" s="2"/>
      <c r="P106" s="2"/>
      <c r="Q106" s="2"/>
      <c r="R106" s="2"/>
      <c r="S106" s="2"/>
      <c r="T106" s="2"/>
      <c r="U106" s="2"/>
      <c r="V106" s="2"/>
      <c r="W106" s="2"/>
      <c r="X106" s="2"/>
      <c r="Y106" s="2" t="s">
        <v>58</v>
      </c>
      <c r="Z106" s="2" t="s">
        <v>1051</v>
      </c>
      <c r="AA106" s="2" t="s">
        <v>408</v>
      </c>
      <c r="AB106" s="2" t="s">
        <v>91</v>
      </c>
      <c r="AC106" s="2"/>
      <c r="AD106" s="2" t="s">
        <v>1052</v>
      </c>
      <c r="AE106" s="2" t="s">
        <v>1101</v>
      </c>
      <c r="AF106" s="2" t="s">
        <v>1102</v>
      </c>
      <c r="AG106" s="2" t="s">
        <v>66</v>
      </c>
      <c r="AH106" s="2">
        <v>0</v>
      </c>
      <c r="AI106" s="2"/>
      <c r="AK106">
        <f t="shared" si="12"/>
        <v>1</v>
      </c>
      <c r="AL106">
        <f t="shared" si="9"/>
        <v>0</v>
      </c>
      <c r="AM106">
        <f t="shared" si="10"/>
        <v>0</v>
      </c>
      <c r="AN106">
        <f t="shared" si="11"/>
        <v>1</v>
      </c>
    </row>
    <row r="107" spans="1:40" ht="409.6">
      <c r="A107" s="2">
        <v>104</v>
      </c>
      <c r="B107" s="2"/>
      <c r="C107" s="2" t="s">
        <v>1103</v>
      </c>
      <c r="D107" s="2" t="s">
        <v>1104</v>
      </c>
      <c r="E107" s="2" t="s">
        <v>846</v>
      </c>
      <c r="F107" s="2">
        <v>2019</v>
      </c>
      <c r="G107" s="2"/>
      <c r="H107" s="2"/>
      <c r="I107" s="2"/>
      <c r="J107" s="2" t="s">
        <v>1105</v>
      </c>
      <c r="K107" s="2"/>
      <c r="L107" s="2"/>
      <c r="M107" s="2"/>
      <c r="N107" s="2"/>
      <c r="O107" s="2"/>
      <c r="P107" s="2"/>
      <c r="Q107" s="2"/>
      <c r="R107" s="2"/>
      <c r="S107" s="2"/>
      <c r="T107" s="2"/>
      <c r="U107" s="2"/>
      <c r="V107" s="2"/>
      <c r="W107" s="2"/>
      <c r="X107" s="2"/>
      <c r="Y107" s="2" t="s">
        <v>58</v>
      </c>
      <c r="Z107" s="2" t="s">
        <v>1051</v>
      </c>
      <c r="AA107" s="2" t="s">
        <v>408</v>
      </c>
      <c r="AB107" s="2" t="s">
        <v>1106</v>
      </c>
      <c r="AC107" s="2"/>
      <c r="AD107" s="2" t="s">
        <v>1052</v>
      </c>
      <c r="AE107" s="2" t="s">
        <v>1107</v>
      </c>
      <c r="AF107" s="2" t="s">
        <v>1316</v>
      </c>
      <c r="AG107" s="2" t="s">
        <v>66</v>
      </c>
      <c r="AH107" s="2">
        <v>0</v>
      </c>
      <c r="AI107" s="2"/>
      <c r="AK107">
        <f t="shared" si="12"/>
        <v>1</v>
      </c>
      <c r="AL107">
        <f t="shared" si="9"/>
        <v>0</v>
      </c>
      <c r="AM107">
        <f t="shared" si="10"/>
        <v>0</v>
      </c>
      <c r="AN107">
        <f t="shared" si="11"/>
        <v>1</v>
      </c>
    </row>
    <row r="108" spans="1:40" ht="409.6">
      <c r="A108" s="2">
        <v>140</v>
      </c>
      <c r="B108" s="2"/>
      <c r="C108" s="2" t="s">
        <v>1108</v>
      </c>
      <c r="D108" s="2" t="s">
        <v>1109</v>
      </c>
      <c r="E108" s="2" t="s">
        <v>1110</v>
      </c>
      <c r="F108" s="2">
        <v>2018</v>
      </c>
      <c r="G108" s="2"/>
      <c r="H108" s="2"/>
      <c r="I108" s="2"/>
      <c r="J108" s="2" t="s">
        <v>1111</v>
      </c>
      <c r="K108" s="2"/>
      <c r="L108" s="2"/>
      <c r="M108" s="2"/>
      <c r="N108" s="2"/>
      <c r="O108" s="2"/>
      <c r="P108" s="2"/>
      <c r="Q108" s="2"/>
      <c r="R108" s="2"/>
      <c r="S108" s="2"/>
      <c r="T108" s="2"/>
      <c r="U108" s="2"/>
      <c r="V108" s="2"/>
      <c r="W108" s="2"/>
      <c r="X108" s="2"/>
      <c r="Y108" s="2" t="s">
        <v>58</v>
      </c>
      <c r="Z108" s="2" t="s">
        <v>1018</v>
      </c>
      <c r="AA108" s="2" t="s">
        <v>1368</v>
      </c>
      <c r="AB108" s="2" t="s">
        <v>1383</v>
      </c>
      <c r="AC108" s="2" t="s">
        <v>1112</v>
      </c>
      <c r="AD108" s="2" t="s">
        <v>1113</v>
      </c>
      <c r="AE108" s="2" t="s">
        <v>1114</v>
      </c>
      <c r="AF108" s="2"/>
      <c r="AG108" s="2" t="s">
        <v>1115</v>
      </c>
      <c r="AH108" s="2">
        <v>0.5</v>
      </c>
      <c r="AI108" s="2" t="s">
        <v>1116</v>
      </c>
      <c r="AK108">
        <f t="shared" si="12"/>
        <v>1</v>
      </c>
      <c r="AL108">
        <f t="shared" si="9"/>
        <v>0</v>
      </c>
      <c r="AM108">
        <f t="shared" si="10"/>
        <v>1</v>
      </c>
      <c r="AN108">
        <f t="shared" si="11"/>
        <v>0</v>
      </c>
    </row>
    <row r="109" spans="1:40" ht="409.6">
      <c r="A109" s="2">
        <v>141</v>
      </c>
      <c r="B109" s="2"/>
      <c r="C109" s="2" t="s">
        <v>1117</v>
      </c>
      <c r="D109" s="2" t="s">
        <v>1118</v>
      </c>
      <c r="E109" s="2" t="s">
        <v>1119</v>
      </c>
      <c r="F109" s="2">
        <v>2021</v>
      </c>
      <c r="G109" s="2"/>
      <c r="H109" s="2"/>
      <c r="I109" s="2"/>
      <c r="J109" s="2" t="s">
        <v>1120</v>
      </c>
      <c r="K109" s="2"/>
      <c r="L109" s="2"/>
      <c r="M109" s="2"/>
      <c r="N109" s="2"/>
      <c r="O109" s="2"/>
      <c r="P109" s="2"/>
      <c r="Q109" s="2"/>
      <c r="R109" s="2"/>
      <c r="S109" s="2"/>
      <c r="T109" s="2"/>
      <c r="U109" s="2"/>
      <c r="V109" s="2"/>
      <c r="W109" s="2"/>
      <c r="X109" s="2"/>
      <c r="Y109" s="2" t="s">
        <v>58</v>
      </c>
      <c r="Z109" s="2" t="s">
        <v>1018</v>
      </c>
      <c r="AA109" s="2" t="s">
        <v>129</v>
      </c>
      <c r="AB109" s="2" t="s">
        <v>207</v>
      </c>
      <c r="AC109" s="2" t="s">
        <v>1112</v>
      </c>
      <c r="AD109" s="2" t="s">
        <v>1121</v>
      </c>
      <c r="AE109" s="2" t="s">
        <v>1122</v>
      </c>
      <c r="AF109" s="2" t="s">
        <v>1123</v>
      </c>
      <c r="AG109" s="2" t="s">
        <v>1124</v>
      </c>
      <c r="AH109" s="2">
        <v>1</v>
      </c>
      <c r="AI109" s="2" t="s">
        <v>1125</v>
      </c>
      <c r="AK109">
        <f t="shared" si="12"/>
        <v>1</v>
      </c>
      <c r="AL109">
        <f t="shared" si="9"/>
        <v>0</v>
      </c>
      <c r="AM109">
        <f t="shared" si="10"/>
        <v>1</v>
      </c>
      <c r="AN109">
        <f t="shared" si="11"/>
        <v>0</v>
      </c>
    </row>
    <row r="110" spans="1:40" ht="409.6">
      <c r="A110" s="2">
        <v>142</v>
      </c>
      <c r="B110" s="2"/>
      <c r="C110" s="2" t="s">
        <v>1126</v>
      </c>
      <c r="D110" s="2" t="s">
        <v>1127</v>
      </c>
      <c r="E110" s="2" t="s">
        <v>1128</v>
      </c>
      <c r="F110" s="2">
        <v>2016</v>
      </c>
      <c r="G110" s="2"/>
      <c r="H110" s="2"/>
      <c r="I110" s="2"/>
      <c r="J110" s="2" t="s">
        <v>1129</v>
      </c>
      <c r="K110" s="2"/>
      <c r="L110" s="2"/>
      <c r="M110" s="2"/>
      <c r="N110" s="2"/>
      <c r="O110" s="2"/>
      <c r="P110" s="2"/>
      <c r="Q110" s="2"/>
      <c r="R110" s="2"/>
      <c r="S110" s="2"/>
      <c r="T110" s="2"/>
      <c r="U110" s="2"/>
      <c r="V110" s="2"/>
      <c r="W110" s="2"/>
      <c r="X110" s="2"/>
      <c r="Y110" s="2" t="s">
        <v>58</v>
      </c>
      <c r="Z110" s="2" t="s">
        <v>1018</v>
      </c>
      <c r="AA110" s="2" t="s">
        <v>1369</v>
      </c>
      <c r="AB110" s="2" t="s">
        <v>409</v>
      </c>
      <c r="AC110" s="2"/>
      <c r="AD110" s="2" t="s">
        <v>1130</v>
      </c>
      <c r="AE110" s="2" t="s">
        <v>1131</v>
      </c>
      <c r="AF110" s="2"/>
      <c r="AG110" s="2" t="s">
        <v>1124</v>
      </c>
      <c r="AH110" s="2">
        <v>0</v>
      </c>
      <c r="AI110" s="2"/>
      <c r="AK110">
        <f t="shared" si="12"/>
        <v>1</v>
      </c>
      <c r="AL110">
        <f t="shared" si="9"/>
        <v>0</v>
      </c>
      <c r="AM110">
        <f t="shared" si="10"/>
        <v>1</v>
      </c>
      <c r="AN110">
        <f t="shared" si="11"/>
        <v>0</v>
      </c>
    </row>
    <row r="111" spans="1:40" ht="409.6">
      <c r="A111" s="2">
        <v>143</v>
      </c>
      <c r="B111" s="2"/>
      <c r="C111" s="2" t="s">
        <v>1132</v>
      </c>
      <c r="D111" s="2" t="s">
        <v>1133</v>
      </c>
      <c r="E111" s="2" t="s">
        <v>1134</v>
      </c>
      <c r="F111" s="2">
        <v>2017</v>
      </c>
      <c r="G111" s="2"/>
      <c r="H111" s="2"/>
      <c r="I111" s="2"/>
      <c r="J111" s="2" t="s">
        <v>1135</v>
      </c>
      <c r="K111" s="2"/>
      <c r="L111" s="2"/>
      <c r="M111" s="2"/>
      <c r="N111" s="2"/>
      <c r="O111" s="2"/>
      <c r="P111" s="2"/>
      <c r="Q111" s="2"/>
      <c r="R111" s="2"/>
      <c r="S111" s="2"/>
      <c r="T111" s="2"/>
      <c r="U111" s="2"/>
      <c r="V111" s="2"/>
      <c r="W111" s="2"/>
      <c r="X111" s="2"/>
      <c r="Y111" s="2" t="s">
        <v>58</v>
      </c>
      <c r="Z111" s="2" t="s">
        <v>1018</v>
      </c>
      <c r="AA111" s="2" t="s">
        <v>1370</v>
      </c>
      <c r="AB111" s="2" t="s">
        <v>409</v>
      </c>
      <c r="AC111" s="2"/>
      <c r="AD111" s="2" t="s">
        <v>1136</v>
      </c>
      <c r="AE111" s="2" t="s">
        <v>1137</v>
      </c>
      <c r="AF111" s="2" t="s">
        <v>1138</v>
      </c>
      <c r="AG111" s="2" t="s">
        <v>1124</v>
      </c>
      <c r="AH111" s="2">
        <v>0</v>
      </c>
      <c r="AI111" s="2"/>
      <c r="AK111">
        <f t="shared" si="12"/>
        <v>1</v>
      </c>
      <c r="AL111">
        <f t="shared" si="9"/>
        <v>0</v>
      </c>
      <c r="AM111">
        <f t="shared" si="10"/>
        <v>1</v>
      </c>
      <c r="AN111">
        <f t="shared" si="11"/>
        <v>0</v>
      </c>
    </row>
    <row r="112" spans="1:40" ht="409.6">
      <c r="A112" s="2">
        <v>144</v>
      </c>
      <c r="B112" s="2"/>
      <c r="C112" s="2" t="s">
        <v>1139</v>
      </c>
      <c r="D112" s="2" t="s">
        <v>1140</v>
      </c>
      <c r="E112" s="2" t="s">
        <v>1141</v>
      </c>
      <c r="F112" s="2">
        <v>2018</v>
      </c>
      <c r="G112" s="2"/>
      <c r="H112" s="2"/>
      <c r="I112" s="2"/>
      <c r="J112" s="2" t="s">
        <v>1142</v>
      </c>
      <c r="K112" s="2"/>
      <c r="L112" s="2"/>
      <c r="M112" s="2"/>
      <c r="N112" s="2"/>
      <c r="O112" s="2"/>
      <c r="P112" s="2"/>
      <c r="Q112" s="2"/>
      <c r="R112" s="2"/>
      <c r="S112" s="2"/>
      <c r="T112" s="2"/>
      <c r="U112" s="2"/>
      <c r="V112" s="2"/>
      <c r="W112" s="2"/>
      <c r="X112" s="2"/>
      <c r="Y112" s="2" t="s">
        <v>58</v>
      </c>
      <c r="Z112" s="2" t="s">
        <v>1051</v>
      </c>
      <c r="AA112" s="2" t="s">
        <v>408</v>
      </c>
      <c r="AB112" s="2" t="s">
        <v>1383</v>
      </c>
      <c r="AC112" s="2" t="s">
        <v>1143</v>
      </c>
      <c r="AD112" s="2" t="s">
        <v>1144</v>
      </c>
      <c r="AE112" s="2" t="s">
        <v>1145</v>
      </c>
      <c r="AF112" s="2" t="s">
        <v>1146</v>
      </c>
      <c r="AG112" s="2" t="s">
        <v>1147</v>
      </c>
      <c r="AH112" s="2">
        <v>1</v>
      </c>
      <c r="AI112" s="2" t="s">
        <v>1148</v>
      </c>
      <c r="AK112">
        <f t="shared" si="12"/>
        <v>1</v>
      </c>
      <c r="AL112">
        <f t="shared" si="9"/>
        <v>0</v>
      </c>
      <c r="AM112">
        <f t="shared" si="10"/>
        <v>0</v>
      </c>
      <c r="AN112">
        <f t="shared" si="11"/>
        <v>1</v>
      </c>
    </row>
    <row r="113" spans="1:40" ht="409.6">
      <c r="A113" s="2">
        <v>146</v>
      </c>
      <c r="B113" s="2"/>
      <c r="C113" s="2" t="s">
        <v>1149</v>
      </c>
      <c r="D113" s="2" t="s">
        <v>1150</v>
      </c>
      <c r="E113" s="2" t="s">
        <v>1151</v>
      </c>
      <c r="F113" s="2">
        <v>2017</v>
      </c>
      <c r="G113" s="2"/>
      <c r="H113" s="2"/>
      <c r="I113" s="2"/>
      <c r="J113" s="2" t="s">
        <v>1152</v>
      </c>
      <c r="K113" s="2"/>
      <c r="L113" s="2"/>
      <c r="M113" s="2"/>
      <c r="N113" s="2"/>
      <c r="O113" s="2"/>
      <c r="P113" s="2"/>
      <c r="Q113" s="2"/>
      <c r="R113" s="2"/>
      <c r="S113" s="2"/>
      <c r="T113" s="2"/>
      <c r="U113" s="2"/>
      <c r="V113" s="2"/>
      <c r="W113" s="2"/>
      <c r="X113" s="2"/>
      <c r="Y113" s="2" t="s">
        <v>58</v>
      </c>
      <c r="Z113" s="2" t="s">
        <v>1037</v>
      </c>
      <c r="AA113" s="2" t="s">
        <v>1153</v>
      </c>
      <c r="AB113" s="2" t="s">
        <v>207</v>
      </c>
      <c r="AC113" s="2"/>
      <c r="AD113" s="2"/>
      <c r="AE113" s="2" t="s">
        <v>1154</v>
      </c>
      <c r="AF113" s="2" t="s">
        <v>1155</v>
      </c>
      <c r="AG113" s="2" t="s">
        <v>717</v>
      </c>
      <c r="AH113" s="2">
        <v>0</v>
      </c>
      <c r="AI113" s="2"/>
      <c r="AK113">
        <f t="shared" si="12"/>
        <v>1</v>
      </c>
      <c r="AL113">
        <f t="shared" si="9"/>
        <v>0</v>
      </c>
      <c r="AM113">
        <f t="shared" si="10"/>
        <v>1</v>
      </c>
      <c r="AN113">
        <f t="shared" si="11"/>
        <v>1</v>
      </c>
    </row>
    <row r="114" spans="1:40" ht="409.6">
      <c r="A114" s="2">
        <v>147</v>
      </c>
      <c r="B114" s="2"/>
      <c r="C114" s="2" t="s">
        <v>1156</v>
      </c>
      <c r="D114" s="2" t="s">
        <v>1157</v>
      </c>
      <c r="E114" s="2" t="s">
        <v>1158</v>
      </c>
      <c r="F114" s="2">
        <v>2014</v>
      </c>
      <c r="G114" s="2"/>
      <c r="H114" s="2"/>
      <c r="I114" s="2"/>
      <c r="J114" s="2" t="s">
        <v>1159</v>
      </c>
      <c r="K114" s="2"/>
      <c r="L114" s="2"/>
      <c r="M114" s="2"/>
      <c r="N114" s="2"/>
      <c r="O114" s="2"/>
      <c r="P114" s="2"/>
      <c r="Q114" s="2"/>
      <c r="R114" s="2"/>
      <c r="S114" s="2"/>
      <c r="T114" s="2"/>
      <c r="U114" s="2"/>
      <c r="V114" s="2"/>
      <c r="W114" s="2"/>
      <c r="X114" s="2"/>
      <c r="Y114" s="2" t="s">
        <v>58</v>
      </c>
      <c r="Z114" s="2" t="s">
        <v>1051</v>
      </c>
      <c r="AA114" s="2" t="s">
        <v>1364</v>
      </c>
      <c r="AB114" s="2" t="s">
        <v>91</v>
      </c>
      <c r="AC114" s="2"/>
      <c r="AD114" s="2" t="s">
        <v>1160</v>
      </c>
      <c r="AE114" s="2" t="s">
        <v>1161</v>
      </c>
      <c r="AF114" s="2" t="s">
        <v>1162</v>
      </c>
      <c r="AG114" s="2" t="s">
        <v>1163</v>
      </c>
      <c r="AH114" s="2">
        <v>0</v>
      </c>
      <c r="AI114" s="2"/>
      <c r="AK114">
        <f t="shared" si="12"/>
        <v>1</v>
      </c>
      <c r="AL114">
        <f t="shared" si="9"/>
        <v>0</v>
      </c>
      <c r="AM114">
        <f t="shared" si="10"/>
        <v>0</v>
      </c>
      <c r="AN114">
        <f t="shared" si="11"/>
        <v>1</v>
      </c>
    </row>
    <row r="115" spans="1:40" ht="409.6">
      <c r="A115" s="2">
        <v>148</v>
      </c>
      <c r="B115" s="2"/>
      <c r="C115" s="2" t="s">
        <v>1164</v>
      </c>
      <c r="D115" s="2" t="s">
        <v>1165</v>
      </c>
      <c r="E115" s="2" t="s">
        <v>1166</v>
      </c>
      <c r="F115" s="2">
        <v>2014</v>
      </c>
      <c r="G115" s="2"/>
      <c r="H115" s="2"/>
      <c r="I115" s="2"/>
      <c r="J115" s="2" t="s">
        <v>1167</v>
      </c>
      <c r="K115" s="2"/>
      <c r="L115" s="2"/>
      <c r="M115" s="2"/>
      <c r="N115" s="2"/>
      <c r="O115" s="2"/>
      <c r="P115" s="2"/>
      <c r="Q115" s="2"/>
      <c r="R115" s="2"/>
      <c r="S115" s="2"/>
      <c r="T115" s="2"/>
      <c r="U115" s="2"/>
      <c r="V115" s="2"/>
      <c r="W115" s="2"/>
      <c r="X115" s="2"/>
      <c r="Y115" s="2" t="s">
        <v>58</v>
      </c>
      <c r="Z115" s="2" t="s">
        <v>1168</v>
      </c>
      <c r="AA115" s="2" t="s">
        <v>1169</v>
      </c>
      <c r="AB115" s="2" t="s">
        <v>91</v>
      </c>
      <c r="AC115" s="2"/>
      <c r="AD115" s="2" t="s">
        <v>1170</v>
      </c>
      <c r="AE115" s="2" t="s">
        <v>1171</v>
      </c>
      <c r="AF115" s="2" t="s">
        <v>1172</v>
      </c>
      <c r="AG115" s="2" t="s">
        <v>1173</v>
      </c>
      <c r="AH115" s="2">
        <v>0.5</v>
      </c>
      <c r="AI115" s="2" t="s">
        <v>1174</v>
      </c>
      <c r="AK115">
        <f t="shared" si="12"/>
        <v>1</v>
      </c>
      <c r="AL115">
        <f t="shared" si="9"/>
        <v>0</v>
      </c>
      <c r="AM115">
        <f t="shared" si="10"/>
        <v>1</v>
      </c>
      <c r="AN115">
        <f t="shared" si="11"/>
        <v>1</v>
      </c>
    </row>
    <row r="116" spans="1:40" ht="409.6">
      <c r="A116" s="2">
        <v>149</v>
      </c>
      <c r="B116" s="2"/>
      <c r="C116" s="2" t="s">
        <v>1175</v>
      </c>
      <c r="D116" s="2" t="s">
        <v>1176</v>
      </c>
      <c r="E116" s="2" t="s">
        <v>1177</v>
      </c>
      <c r="F116" s="2">
        <v>2018</v>
      </c>
      <c r="G116" s="2"/>
      <c r="H116" s="2"/>
      <c r="I116" s="2"/>
      <c r="J116" s="2" t="s">
        <v>1178</v>
      </c>
      <c r="K116" s="2"/>
      <c r="L116" s="2"/>
      <c r="M116" s="2"/>
      <c r="N116" s="2"/>
      <c r="O116" s="2"/>
      <c r="P116" s="2"/>
      <c r="Q116" s="2"/>
      <c r="R116" s="2"/>
      <c r="S116" s="2"/>
      <c r="T116" s="2"/>
      <c r="U116" s="2"/>
      <c r="V116" s="2"/>
      <c r="W116" s="2"/>
      <c r="X116" s="2"/>
      <c r="Y116" s="2" t="s">
        <v>58</v>
      </c>
      <c r="Z116" s="2" t="s">
        <v>1179</v>
      </c>
      <c r="AA116" s="2" t="s">
        <v>1169</v>
      </c>
      <c r="AB116" s="2" t="s">
        <v>91</v>
      </c>
      <c r="AC116" s="2"/>
      <c r="AD116" s="2" t="s">
        <v>1079</v>
      </c>
      <c r="AE116" s="2"/>
      <c r="AF116" s="2" t="s">
        <v>1180</v>
      </c>
      <c r="AG116" s="2" t="s">
        <v>66</v>
      </c>
      <c r="AH116" s="2">
        <v>0</v>
      </c>
      <c r="AI116" s="2" t="s">
        <v>1181</v>
      </c>
      <c r="AK116">
        <f t="shared" si="12"/>
        <v>1</v>
      </c>
      <c r="AL116">
        <f t="shared" si="9"/>
        <v>0</v>
      </c>
      <c r="AM116">
        <f t="shared" si="10"/>
        <v>0</v>
      </c>
      <c r="AN116">
        <f t="shared" si="11"/>
        <v>1</v>
      </c>
    </row>
    <row r="117" spans="1:40" ht="409.6">
      <c r="A117" s="2">
        <v>150</v>
      </c>
      <c r="B117" s="2"/>
      <c r="C117" s="2" t="s">
        <v>1182</v>
      </c>
      <c r="D117" s="2" t="s">
        <v>1183</v>
      </c>
      <c r="E117" s="2" t="s">
        <v>1184</v>
      </c>
      <c r="F117" s="2">
        <v>2023</v>
      </c>
      <c r="G117" s="2"/>
      <c r="H117" s="2"/>
      <c r="I117" s="2"/>
      <c r="J117" s="2" t="s">
        <v>1185</v>
      </c>
      <c r="K117" s="2"/>
      <c r="L117" s="2"/>
      <c r="M117" s="2"/>
      <c r="N117" s="2"/>
      <c r="O117" s="2"/>
      <c r="P117" s="2"/>
      <c r="Q117" s="2"/>
      <c r="R117" s="2"/>
      <c r="S117" s="2"/>
      <c r="T117" s="2"/>
      <c r="U117" s="2"/>
      <c r="V117" s="2"/>
      <c r="W117" s="2"/>
      <c r="X117" s="2"/>
      <c r="Y117" s="2" t="s">
        <v>58</v>
      </c>
      <c r="Z117" s="2" t="s">
        <v>1051</v>
      </c>
      <c r="AA117" s="2" t="s">
        <v>114</v>
      </c>
      <c r="AB117" s="2" t="s">
        <v>1186</v>
      </c>
      <c r="AC117" s="2"/>
      <c r="AD117" s="2" t="s">
        <v>1187</v>
      </c>
      <c r="AE117" s="2" t="s">
        <v>1188</v>
      </c>
      <c r="AF117" s="2" t="s">
        <v>1189</v>
      </c>
      <c r="AG117" s="2" t="s">
        <v>66</v>
      </c>
      <c r="AH117" s="2">
        <v>1</v>
      </c>
      <c r="AI117" s="2" t="s">
        <v>1190</v>
      </c>
      <c r="AK117">
        <f t="shared" si="12"/>
        <v>1</v>
      </c>
      <c r="AL117">
        <f t="shared" si="9"/>
        <v>0</v>
      </c>
      <c r="AM117">
        <f t="shared" si="10"/>
        <v>0</v>
      </c>
      <c r="AN117">
        <f t="shared" si="11"/>
        <v>1</v>
      </c>
    </row>
    <row r="118" spans="1:40" ht="409.6">
      <c r="A118" s="2">
        <v>151</v>
      </c>
      <c r="B118" s="2"/>
      <c r="C118" s="2" t="s">
        <v>1191</v>
      </c>
      <c r="D118" s="2" t="s">
        <v>1192</v>
      </c>
      <c r="E118" s="2" t="s">
        <v>1193</v>
      </c>
      <c r="F118" s="2">
        <v>2014</v>
      </c>
      <c r="G118" s="2"/>
      <c r="H118" s="2"/>
      <c r="I118" s="2"/>
      <c r="J118" s="2" t="s">
        <v>1194</v>
      </c>
      <c r="K118" s="2"/>
      <c r="L118" s="2"/>
      <c r="M118" s="2"/>
      <c r="N118" s="2"/>
      <c r="O118" s="2"/>
      <c r="P118" s="2"/>
      <c r="Q118" s="2"/>
      <c r="R118" s="2"/>
      <c r="S118" s="2"/>
      <c r="T118" s="2"/>
      <c r="U118" s="2"/>
      <c r="V118" s="2"/>
      <c r="W118" s="2"/>
      <c r="X118" s="2"/>
      <c r="Y118" s="2" t="s">
        <v>58</v>
      </c>
      <c r="Z118" s="2" t="s">
        <v>1051</v>
      </c>
      <c r="AA118" s="2" t="s">
        <v>142</v>
      </c>
      <c r="AB118" s="2" t="s">
        <v>1324</v>
      </c>
      <c r="AC118" s="2"/>
      <c r="AD118" s="2" t="s">
        <v>1052</v>
      </c>
      <c r="AE118" s="2" t="s">
        <v>1195</v>
      </c>
      <c r="AF118" s="2" t="s">
        <v>1196</v>
      </c>
      <c r="AG118" s="2" t="s">
        <v>66</v>
      </c>
      <c r="AH118" s="2">
        <v>0</v>
      </c>
      <c r="AI118" s="2" t="s">
        <v>1197</v>
      </c>
      <c r="AK118">
        <f t="shared" si="12"/>
        <v>1</v>
      </c>
      <c r="AL118">
        <f t="shared" si="9"/>
        <v>0</v>
      </c>
      <c r="AM118">
        <f t="shared" si="10"/>
        <v>0</v>
      </c>
      <c r="AN118">
        <f t="shared" si="11"/>
        <v>1</v>
      </c>
    </row>
    <row r="119" spans="1:40" ht="409.6">
      <c r="A119" s="2">
        <v>152</v>
      </c>
      <c r="B119" s="2"/>
      <c r="C119" s="2" t="s">
        <v>1198</v>
      </c>
      <c r="D119" s="2" t="s">
        <v>1199</v>
      </c>
      <c r="E119" s="2" t="s">
        <v>1200</v>
      </c>
      <c r="F119" s="2">
        <v>2015</v>
      </c>
      <c r="G119" s="2"/>
      <c r="H119" s="2"/>
      <c r="I119" s="2"/>
      <c r="J119" s="2" t="s">
        <v>1201</v>
      </c>
      <c r="K119" s="2"/>
      <c r="L119" s="2"/>
      <c r="M119" s="2"/>
      <c r="N119" s="2"/>
      <c r="O119" s="2"/>
      <c r="P119" s="2"/>
      <c r="Q119" s="2"/>
      <c r="R119" s="2"/>
      <c r="S119" s="2"/>
      <c r="T119" s="2"/>
      <c r="U119" s="2"/>
      <c r="V119" s="2"/>
      <c r="W119" s="2"/>
      <c r="X119" s="2"/>
      <c r="Y119" s="2" t="s">
        <v>58</v>
      </c>
      <c r="Z119" s="2" t="s">
        <v>1051</v>
      </c>
      <c r="AA119" s="2" t="s">
        <v>408</v>
      </c>
      <c r="AB119" s="2" t="s">
        <v>207</v>
      </c>
      <c r="AC119" s="2" t="s">
        <v>1202</v>
      </c>
      <c r="AD119" s="2" t="s">
        <v>1203</v>
      </c>
      <c r="AE119" s="2" t="s">
        <v>1204</v>
      </c>
      <c r="AF119" s="2" t="s">
        <v>1054</v>
      </c>
      <c r="AG119" s="2" t="s">
        <v>1205</v>
      </c>
      <c r="AH119" s="2">
        <v>0.5</v>
      </c>
      <c r="AI119" s="2" t="s">
        <v>1206</v>
      </c>
      <c r="AK119">
        <f t="shared" si="12"/>
        <v>1</v>
      </c>
      <c r="AL119">
        <f t="shared" si="9"/>
        <v>0</v>
      </c>
      <c r="AM119">
        <f t="shared" si="10"/>
        <v>0</v>
      </c>
      <c r="AN119">
        <f t="shared" si="11"/>
        <v>1</v>
      </c>
    </row>
    <row r="120" spans="1:40" ht="409.6">
      <c r="A120" s="2">
        <v>154</v>
      </c>
      <c r="B120" s="2"/>
      <c r="C120" s="2" t="s">
        <v>1207</v>
      </c>
      <c r="D120" s="2" t="s">
        <v>1208</v>
      </c>
      <c r="E120" s="2" t="s">
        <v>1209</v>
      </c>
      <c r="F120" s="2">
        <v>2021</v>
      </c>
      <c r="G120" s="2"/>
      <c r="H120" s="2"/>
      <c r="I120" s="2"/>
      <c r="J120" s="2" t="s">
        <v>1210</v>
      </c>
      <c r="K120" s="2"/>
      <c r="L120" s="2"/>
      <c r="M120" s="2"/>
      <c r="N120" s="2"/>
      <c r="O120" s="2"/>
      <c r="P120" s="2"/>
      <c r="Q120" s="2"/>
      <c r="R120" s="2"/>
      <c r="S120" s="2"/>
      <c r="T120" s="2"/>
      <c r="U120" s="2"/>
      <c r="V120" s="2"/>
      <c r="W120" s="2"/>
      <c r="X120" s="2"/>
      <c r="Y120" s="2" t="s">
        <v>58</v>
      </c>
      <c r="Z120" s="2" t="s">
        <v>1051</v>
      </c>
      <c r="AA120" s="2" t="s">
        <v>114</v>
      </c>
      <c r="AB120" s="2" t="s">
        <v>1211</v>
      </c>
      <c r="AC120" s="2"/>
      <c r="AD120" s="2" t="s">
        <v>1212</v>
      </c>
      <c r="AE120" s="2" t="s">
        <v>1213</v>
      </c>
      <c r="AF120" s="2" t="s">
        <v>1214</v>
      </c>
      <c r="AG120" s="2" t="s">
        <v>1215</v>
      </c>
      <c r="AH120" s="2">
        <v>0</v>
      </c>
      <c r="AI120" s="2" t="s">
        <v>1216</v>
      </c>
      <c r="AK120">
        <f t="shared" si="12"/>
        <v>1</v>
      </c>
      <c r="AL120">
        <f t="shared" si="9"/>
        <v>0</v>
      </c>
      <c r="AM120">
        <f t="shared" si="10"/>
        <v>0</v>
      </c>
      <c r="AN120">
        <f t="shared" si="11"/>
        <v>1</v>
      </c>
    </row>
    <row r="121" spans="1:40" ht="409.6">
      <c r="A121" s="2">
        <v>155</v>
      </c>
      <c r="B121" s="2"/>
      <c r="C121" s="2" t="s">
        <v>1217</v>
      </c>
      <c r="D121" s="2" t="s">
        <v>1218</v>
      </c>
      <c r="E121" s="2" t="s">
        <v>1219</v>
      </c>
      <c r="F121" s="2">
        <v>2024</v>
      </c>
      <c r="G121" s="2"/>
      <c r="H121" s="2"/>
      <c r="I121" s="2"/>
      <c r="J121" s="2" t="s">
        <v>1220</v>
      </c>
      <c r="K121" s="2"/>
      <c r="L121" s="2"/>
      <c r="M121" s="2"/>
      <c r="N121" s="2"/>
      <c r="O121" s="2"/>
      <c r="P121" s="2"/>
      <c r="Q121" s="2"/>
      <c r="R121" s="2"/>
      <c r="S121" s="2"/>
      <c r="T121" s="2"/>
      <c r="U121" s="2"/>
      <c r="V121" s="2"/>
      <c r="W121" s="2"/>
      <c r="X121" s="2"/>
      <c r="Y121" s="2" t="s">
        <v>58</v>
      </c>
      <c r="Z121" s="2" t="s">
        <v>1051</v>
      </c>
      <c r="AA121" s="2" t="s">
        <v>114</v>
      </c>
      <c r="AB121" s="2" t="s">
        <v>1221</v>
      </c>
      <c r="AC121" s="2"/>
      <c r="AD121" s="2" t="s">
        <v>1222</v>
      </c>
      <c r="AE121" s="2" t="s">
        <v>1223</v>
      </c>
      <c r="AF121" s="2" t="s">
        <v>1224</v>
      </c>
      <c r="AG121" s="2" t="s">
        <v>1225</v>
      </c>
      <c r="AH121" s="2">
        <v>0</v>
      </c>
      <c r="AI121" s="2" t="s">
        <v>1226</v>
      </c>
      <c r="AK121">
        <f t="shared" si="12"/>
        <v>1</v>
      </c>
      <c r="AL121">
        <f t="shared" si="9"/>
        <v>0</v>
      </c>
      <c r="AM121">
        <f t="shared" si="10"/>
        <v>0</v>
      </c>
      <c r="AN121">
        <f t="shared" si="11"/>
        <v>1</v>
      </c>
    </row>
    <row r="122" spans="1:40" ht="409.6">
      <c r="A122" s="2">
        <v>156</v>
      </c>
      <c r="B122" s="2"/>
      <c r="C122" s="2" t="s">
        <v>1227</v>
      </c>
      <c r="D122" s="2" t="s">
        <v>1228</v>
      </c>
      <c r="E122" s="2" t="s">
        <v>1229</v>
      </c>
      <c r="F122" s="2">
        <v>2022</v>
      </c>
      <c r="G122" s="2"/>
      <c r="H122" s="2"/>
      <c r="I122" s="2"/>
      <c r="J122" s="2" t="s">
        <v>1230</v>
      </c>
      <c r="K122" s="2"/>
      <c r="L122" s="2"/>
      <c r="M122" s="2"/>
      <c r="N122" s="2"/>
      <c r="O122" s="2"/>
      <c r="P122" s="2"/>
      <c r="Q122" s="2"/>
      <c r="R122" s="2"/>
      <c r="S122" s="2"/>
      <c r="T122" s="2"/>
      <c r="U122" s="2"/>
      <c r="V122" s="2"/>
      <c r="W122" s="2"/>
      <c r="X122" s="2"/>
      <c r="Y122" s="2" t="s">
        <v>58</v>
      </c>
      <c r="Z122" s="2" t="s">
        <v>1051</v>
      </c>
      <c r="AA122" s="2" t="s">
        <v>1231</v>
      </c>
      <c r="AB122" s="2" t="s">
        <v>409</v>
      </c>
      <c r="AC122" s="2"/>
      <c r="AD122" s="2" t="s">
        <v>1232</v>
      </c>
      <c r="AE122" s="2" t="s">
        <v>1233</v>
      </c>
      <c r="AF122" s="2" t="s">
        <v>1180</v>
      </c>
      <c r="AG122" s="2" t="s">
        <v>1205</v>
      </c>
      <c r="AH122" s="2">
        <v>0</v>
      </c>
      <c r="AI122" s="2" t="s">
        <v>1234</v>
      </c>
      <c r="AK122">
        <f t="shared" si="12"/>
        <v>1</v>
      </c>
      <c r="AL122">
        <f t="shared" si="9"/>
        <v>0</v>
      </c>
      <c r="AM122">
        <f t="shared" si="10"/>
        <v>0</v>
      </c>
      <c r="AN122">
        <f t="shared" si="11"/>
        <v>1</v>
      </c>
    </row>
    <row r="123" spans="1:40" ht="409.6">
      <c r="A123" s="2">
        <v>158</v>
      </c>
      <c r="B123" s="2"/>
      <c r="C123" s="2" t="s">
        <v>1235</v>
      </c>
      <c r="D123" s="2" t="s">
        <v>1236</v>
      </c>
      <c r="E123" s="2" t="s">
        <v>1237</v>
      </c>
      <c r="F123" s="2">
        <v>2020</v>
      </c>
      <c r="G123" s="2"/>
      <c r="H123" s="2"/>
      <c r="I123" s="2"/>
      <c r="J123" s="2" t="s">
        <v>1238</v>
      </c>
      <c r="K123" s="2"/>
      <c r="L123" s="2"/>
      <c r="M123" s="2"/>
      <c r="N123" s="2"/>
      <c r="O123" s="2"/>
      <c r="P123" s="2"/>
      <c r="Q123" s="2"/>
      <c r="R123" s="2"/>
      <c r="S123" s="2"/>
      <c r="T123" s="2"/>
      <c r="U123" s="2"/>
      <c r="V123" s="2"/>
      <c r="W123" s="2"/>
      <c r="X123" s="2"/>
      <c r="Y123" s="2" t="s">
        <v>58</v>
      </c>
      <c r="Z123" s="2" t="s">
        <v>1018</v>
      </c>
      <c r="AA123" s="2" t="s">
        <v>1368</v>
      </c>
      <c r="AB123" s="2" t="s">
        <v>1383</v>
      </c>
      <c r="AC123" s="2" t="s">
        <v>1143</v>
      </c>
      <c r="AD123" s="2" t="s">
        <v>1239</v>
      </c>
      <c r="AE123" s="2" t="s">
        <v>1240</v>
      </c>
      <c r="AF123" s="2"/>
      <c r="AG123" s="2" t="s">
        <v>1241</v>
      </c>
      <c r="AH123" s="2">
        <v>1</v>
      </c>
      <c r="AI123" s="2"/>
      <c r="AK123">
        <f t="shared" si="12"/>
        <v>1</v>
      </c>
      <c r="AL123">
        <f t="shared" si="9"/>
        <v>0</v>
      </c>
      <c r="AM123">
        <f t="shared" si="10"/>
        <v>1</v>
      </c>
      <c r="AN123">
        <f t="shared" si="11"/>
        <v>0</v>
      </c>
    </row>
    <row r="124" spans="1:40" ht="409.6">
      <c r="A124" s="2">
        <v>159</v>
      </c>
      <c r="B124" s="2"/>
      <c r="C124" s="2" t="s">
        <v>1242</v>
      </c>
      <c r="D124" s="2" t="s">
        <v>459</v>
      </c>
      <c r="E124" s="2" t="s">
        <v>1243</v>
      </c>
      <c r="F124" s="2">
        <v>2015</v>
      </c>
      <c r="G124" s="2"/>
      <c r="H124" s="2"/>
      <c r="I124" s="2"/>
      <c r="J124" s="2" t="s">
        <v>1244</v>
      </c>
      <c r="K124" s="2"/>
      <c r="L124" s="2"/>
      <c r="M124" s="2"/>
      <c r="N124" s="2"/>
      <c r="O124" s="2"/>
      <c r="P124" s="2"/>
      <c r="Q124" s="2"/>
      <c r="R124" s="2"/>
      <c r="S124" s="2"/>
      <c r="T124" s="2"/>
      <c r="U124" s="2"/>
      <c r="V124" s="2"/>
      <c r="W124" s="2"/>
      <c r="X124" s="2"/>
      <c r="Y124" s="2" t="s">
        <v>58</v>
      </c>
      <c r="Z124" s="2" t="s">
        <v>1051</v>
      </c>
      <c r="AA124" s="2" t="s">
        <v>60</v>
      </c>
      <c r="AB124" s="2" t="s">
        <v>91</v>
      </c>
      <c r="AC124" s="2" t="s">
        <v>1202</v>
      </c>
      <c r="AD124" s="2" t="s">
        <v>1052</v>
      </c>
      <c r="AE124" s="2" t="s">
        <v>1245</v>
      </c>
      <c r="AF124" s="2" t="s">
        <v>1180</v>
      </c>
      <c r="AG124" s="2" t="s">
        <v>66</v>
      </c>
      <c r="AH124" s="2">
        <v>0</v>
      </c>
      <c r="AI124" s="2"/>
      <c r="AK124">
        <f t="shared" si="12"/>
        <v>1</v>
      </c>
      <c r="AL124">
        <f t="shared" si="9"/>
        <v>0</v>
      </c>
      <c r="AM124">
        <f t="shared" si="10"/>
        <v>0</v>
      </c>
      <c r="AN124">
        <f t="shared" si="11"/>
        <v>1</v>
      </c>
    </row>
    <row r="125" spans="1:40" ht="409.6">
      <c r="A125" s="2">
        <v>160</v>
      </c>
      <c r="B125" s="2"/>
      <c r="C125" s="2" t="s">
        <v>1246</v>
      </c>
      <c r="D125" s="2" t="s">
        <v>496</v>
      </c>
      <c r="E125" s="2" t="s">
        <v>1247</v>
      </c>
      <c r="F125" s="2">
        <v>2016</v>
      </c>
      <c r="G125" s="2"/>
      <c r="H125" s="2"/>
      <c r="I125" s="2"/>
      <c r="J125" s="2" t="s">
        <v>1248</v>
      </c>
      <c r="K125" s="2"/>
      <c r="L125" s="2"/>
      <c r="M125" s="2"/>
      <c r="N125" s="2"/>
      <c r="O125" s="2"/>
      <c r="P125" s="2"/>
      <c r="Q125" s="2"/>
      <c r="R125" s="2"/>
      <c r="S125" s="2"/>
      <c r="T125" s="2"/>
      <c r="U125" s="2"/>
      <c r="V125" s="2"/>
      <c r="W125" s="2"/>
      <c r="X125" s="2"/>
      <c r="Y125" s="2" t="s">
        <v>58</v>
      </c>
      <c r="Z125" s="2" t="s">
        <v>1051</v>
      </c>
      <c r="AA125" s="2" t="s">
        <v>1365</v>
      </c>
      <c r="AB125" s="2" t="s">
        <v>1389</v>
      </c>
      <c r="AC125" s="2"/>
      <c r="AD125" s="2" t="s">
        <v>1052</v>
      </c>
      <c r="AE125" s="2" t="s">
        <v>1249</v>
      </c>
      <c r="AF125" s="2"/>
      <c r="AG125" s="2" t="s">
        <v>66</v>
      </c>
      <c r="AH125" s="2">
        <v>0.5</v>
      </c>
      <c r="AI125" s="2" t="s">
        <v>1250</v>
      </c>
      <c r="AK125">
        <f t="shared" si="12"/>
        <v>1</v>
      </c>
      <c r="AL125">
        <f t="shared" si="9"/>
        <v>0</v>
      </c>
      <c r="AM125">
        <f t="shared" si="10"/>
        <v>0</v>
      </c>
      <c r="AN125">
        <f t="shared" si="11"/>
        <v>1</v>
      </c>
    </row>
    <row r="126" spans="1:40" ht="409.6">
      <c r="A126" s="2">
        <v>161</v>
      </c>
      <c r="B126" s="2"/>
      <c r="C126" s="2" t="s">
        <v>1251</v>
      </c>
      <c r="D126" s="2" t="s">
        <v>459</v>
      </c>
      <c r="E126" s="2" t="s">
        <v>1252</v>
      </c>
      <c r="F126" s="2">
        <v>2022</v>
      </c>
      <c r="G126" s="2"/>
      <c r="H126" s="2"/>
      <c r="I126" s="2"/>
      <c r="J126" s="2" t="s">
        <v>1253</v>
      </c>
      <c r="K126" s="2"/>
      <c r="L126" s="2"/>
      <c r="M126" s="2"/>
      <c r="N126" s="2"/>
      <c r="O126" s="2"/>
      <c r="P126" s="2"/>
      <c r="Q126" s="2"/>
      <c r="R126" s="2"/>
      <c r="S126" s="2"/>
      <c r="T126" s="2"/>
      <c r="U126" s="2"/>
      <c r="V126" s="2"/>
      <c r="W126" s="2"/>
      <c r="X126" s="2"/>
      <c r="Y126" s="2" t="s">
        <v>58</v>
      </c>
      <c r="Z126" s="2" t="s">
        <v>1051</v>
      </c>
      <c r="AA126" s="2" t="s">
        <v>408</v>
      </c>
      <c r="AB126" s="2" t="s">
        <v>1254</v>
      </c>
      <c r="AC126" s="2"/>
      <c r="AD126" s="2" t="s">
        <v>1052</v>
      </c>
      <c r="AE126" s="2" t="s">
        <v>1255</v>
      </c>
      <c r="AF126" s="2" t="s">
        <v>1180</v>
      </c>
      <c r="AG126" s="2" t="s">
        <v>1256</v>
      </c>
      <c r="AH126" s="2">
        <v>1</v>
      </c>
      <c r="AI126" s="2" t="s">
        <v>1257</v>
      </c>
      <c r="AK126">
        <f t="shared" si="12"/>
        <v>1</v>
      </c>
      <c r="AL126">
        <f t="shared" si="9"/>
        <v>0</v>
      </c>
      <c r="AM126">
        <f t="shared" si="10"/>
        <v>0</v>
      </c>
      <c r="AN126">
        <f t="shared" si="11"/>
        <v>1</v>
      </c>
    </row>
  </sheetData>
  <sortState xmlns:xlrd2="http://schemas.microsoft.com/office/spreadsheetml/2017/richdata2" ref="CS3:CT8">
    <sortCondition descending="1" ref="CT3:CT8"/>
  </sortState>
  <mergeCells count="7">
    <mergeCell ref="AA95:AH95"/>
    <mergeCell ref="AA72:AH72"/>
    <mergeCell ref="AA82:AH82"/>
    <mergeCell ref="AA86:AH86"/>
    <mergeCell ref="AA87:AH87"/>
    <mergeCell ref="AA88:AH88"/>
    <mergeCell ref="AA93:AH93"/>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E1"/>
  <sheetViews>
    <sheetView workbookViewId="0"/>
  </sheetViews>
  <sheetFormatPr defaultColWidth="11.19921875" defaultRowHeight="15.6"/>
  <sheetData>
    <row r="1" spans="1:5">
      <c r="A1" s="32"/>
      <c r="B1" s="32"/>
      <c r="C1" s="32"/>
      <c r="D1" s="32"/>
      <c r="E1" s="3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Foglio1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Luigi LIbero Lucio Starace</cp:lastModifiedBy>
  <dcterms:created xsi:type="dcterms:W3CDTF">2025-10-26T10:38:41Z</dcterms:created>
  <dcterms:modified xsi:type="dcterms:W3CDTF">2025-12-25T10:18:31Z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d0b24d-6422-44b0-b3de-abb3a9e8c81a_Enabled">
    <vt:lpwstr>true</vt:lpwstr>
  </property>
  <property fmtid="{D5CDD505-2E9C-101B-9397-08002B2CF9AE}" pid="3" name="MSIP_Label_2ad0b24d-6422-44b0-b3de-abb3a9e8c81a_SetDate">
    <vt:lpwstr>2025-12-25T10:18:31Z</vt:lpwstr>
  </property>
  <property fmtid="{D5CDD505-2E9C-101B-9397-08002B2CF9AE}" pid="4" name="MSIP_Label_2ad0b24d-6422-44b0-b3de-abb3a9e8c81a_Method">
    <vt:lpwstr>Standard</vt:lpwstr>
  </property>
  <property fmtid="{D5CDD505-2E9C-101B-9397-08002B2CF9AE}" pid="5" name="MSIP_Label_2ad0b24d-6422-44b0-b3de-abb3a9e8c81a_Name">
    <vt:lpwstr>defa4170-0d19-0005-0004-bc88714345d2</vt:lpwstr>
  </property>
  <property fmtid="{D5CDD505-2E9C-101B-9397-08002B2CF9AE}" pid="6" name="MSIP_Label_2ad0b24d-6422-44b0-b3de-abb3a9e8c81a_SiteId">
    <vt:lpwstr>2fcfe26a-bb62-46b0-b1e3-28f9da0c45fd</vt:lpwstr>
  </property>
  <property fmtid="{D5CDD505-2E9C-101B-9397-08002B2CF9AE}" pid="7" name="MSIP_Label_2ad0b24d-6422-44b0-b3de-abb3a9e8c81a_ActionId">
    <vt:lpwstr>2da57a11-88f7-40d1-b683-2f2613adb8ab</vt:lpwstr>
  </property>
  <property fmtid="{D5CDD505-2E9C-101B-9397-08002B2CF9AE}" pid="8" name="MSIP_Label_2ad0b24d-6422-44b0-b3de-abb3a9e8c81a_ContentBits">
    <vt:lpwstr>0</vt:lpwstr>
  </property>
  <property fmtid="{D5CDD505-2E9C-101B-9397-08002B2CF9AE}" pid="9" name="MSIP_Label_2ad0b24d-6422-44b0-b3de-abb3a9e8c81a_Tag">
    <vt:lpwstr>10, 3, 0, 1</vt:lpwstr>
  </property>
</Properties>
</file>