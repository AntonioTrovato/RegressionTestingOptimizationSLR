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research\2026-SLR-regression-testing-optimization\Analysis_and_Visualization\data\"/>
    </mc:Choice>
  </mc:AlternateContent>
  <xr:revisionPtr revIDLastSave="0" documentId="13_ncr:1_{F29FCEC5-B88B-4D44-849C-ABACC48290A8}" xr6:coauthVersionLast="47" xr6:coauthVersionMax="47" xr10:uidLastSave="{00000000-0000-0000-0000-000000000000}"/>
  <bookViews>
    <workbookView xWindow="-108" yWindow="-108" windowWidth="30936" windowHeight="16776" firstSheet="3" activeTab="3" xr2:uid="{FF880EED-EA60-9E49-B15D-179496B980D1}"/>
  </bookViews>
  <sheets>
    <sheet name="data_extraction" sheetId="2" r:id="rId1"/>
    <sheet name="Sheet2" sheetId="7" r:id="rId2"/>
    <sheet name="RQ1_trends_by_category_per_year" sheetId="3" r:id="rId3"/>
    <sheet name="classification_by_venue_q" sheetId="9" r:id="rId4"/>
    <sheet name="RQ1_replicability_per_year" sheetId="5" r:id="rId5"/>
    <sheet name="RQ2_p_taxonomy_vs_algorithm" sheetId="4" r:id="rId6"/>
    <sheet name="RQ2_s_taxonomy_vs_algorithm" sheetId="6" r:id="rId7"/>
    <sheet name="RQ3_datasets" sheetId="8" r:id="rId8"/>
    <sheet name="raw_data" sheetId="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C15" i="3"/>
  <c r="D15" i="3"/>
  <c r="E15" i="3"/>
  <c r="AK2" i="1"/>
  <c r="AL2" i="1"/>
  <c r="AM2" i="1"/>
  <c r="AN2" i="1"/>
  <c r="AK3" i="1"/>
  <c r="AL3" i="1"/>
  <c r="AM3" i="1"/>
  <c r="AN3" i="1"/>
  <c r="AK4" i="1"/>
  <c r="AL4" i="1"/>
  <c r="AM4" i="1"/>
  <c r="AN4" i="1"/>
  <c r="AK5" i="1"/>
  <c r="AL5" i="1"/>
  <c r="AM5" i="1"/>
  <c r="AN5" i="1"/>
  <c r="AK6" i="1"/>
  <c r="AL6" i="1"/>
  <c r="AM6" i="1"/>
  <c r="AN6" i="1"/>
  <c r="AK7" i="1"/>
  <c r="AL7" i="1"/>
  <c r="AM7" i="1"/>
  <c r="AN7" i="1"/>
  <c r="AK8" i="1"/>
  <c r="AL8" i="1"/>
  <c r="AM8" i="1"/>
  <c r="AN8" i="1"/>
  <c r="AK9" i="1"/>
  <c r="AL9" i="1"/>
  <c r="AM9" i="1"/>
  <c r="AN9" i="1"/>
  <c r="AK10" i="1"/>
  <c r="AL10" i="1"/>
  <c r="AM10" i="1"/>
  <c r="AN10" i="1"/>
  <c r="AK11" i="1"/>
  <c r="AL11" i="1"/>
  <c r="AM11" i="1"/>
  <c r="AN11" i="1"/>
  <c r="AK12" i="1"/>
  <c r="AL12" i="1"/>
  <c r="AM12" i="1"/>
  <c r="AN12" i="1"/>
  <c r="AK13" i="1"/>
  <c r="AL13" i="1"/>
  <c r="AM13" i="1"/>
  <c r="AN13" i="1"/>
  <c r="AK14" i="1"/>
  <c r="AL14" i="1"/>
  <c r="AM14" i="1"/>
  <c r="AN14" i="1"/>
  <c r="AK15" i="1"/>
  <c r="AL15" i="1"/>
  <c r="AM15" i="1"/>
  <c r="AN15" i="1"/>
  <c r="AK16" i="1"/>
  <c r="AL16" i="1"/>
  <c r="AM16" i="1"/>
  <c r="AN16" i="1"/>
  <c r="AK17" i="1"/>
  <c r="AL17" i="1"/>
  <c r="AM17" i="1"/>
  <c r="AN17" i="1"/>
  <c r="AK18" i="1"/>
  <c r="AL18" i="1"/>
  <c r="AM18" i="1"/>
  <c r="AN18" i="1"/>
  <c r="AK19" i="1"/>
  <c r="AL19" i="1"/>
  <c r="AM19" i="1"/>
  <c r="AN19" i="1"/>
  <c r="AK20" i="1"/>
  <c r="AL20" i="1"/>
  <c r="AM20" i="1"/>
  <c r="AN20" i="1"/>
  <c r="AK21" i="1"/>
  <c r="AL21" i="1"/>
  <c r="AM21" i="1"/>
  <c r="AN21" i="1"/>
  <c r="AK22" i="1"/>
  <c r="AL22" i="1"/>
  <c r="AM22" i="1"/>
  <c r="AN22" i="1"/>
  <c r="AK23" i="1"/>
  <c r="AL23" i="1"/>
  <c r="AM23" i="1"/>
  <c r="AN23" i="1"/>
  <c r="AK24" i="1"/>
  <c r="AL24" i="1"/>
  <c r="AM24" i="1"/>
  <c r="AN24" i="1"/>
  <c r="AK25" i="1"/>
  <c r="AL25" i="1"/>
  <c r="AM25" i="1"/>
  <c r="AN25" i="1"/>
  <c r="AK26" i="1"/>
  <c r="AL26" i="1"/>
  <c r="AM26" i="1"/>
  <c r="AN26" i="1"/>
  <c r="AK27" i="1"/>
  <c r="AL27" i="1"/>
  <c r="AM27" i="1"/>
  <c r="AN27" i="1"/>
  <c r="AK28" i="1"/>
  <c r="AL28" i="1"/>
  <c r="AM28" i="1"/>
  <c r="AN28" i="1"/>
  <c r="AK29" i="1"/>
  <c r="AL29" i="1"/>
  <c r="AM29" i="1"/>
  <c r="AN29" i="1"/>
  <c r="AK30" i="1"/>
  <c r="AL30" i="1"/>
  <c r="AM30" i="1"/>
  <c r="AN30" i="1"/>
  <c r="AK31" i="1"/>
  <c r="AL31" i="1"/>
  <c r="AM31" i="1"/>
  <c r="AN31" i="1"/>
  <c r="AK32" i="1"/>
  <c r="AL32" i="1"/>
  <c r="AM32" i="1"/>
  <c r="AN32" i="1"/>
  <c r="AK33" i="1"/>
  <c r="AL33" i="1"/>
  <c r="AM33" i="1"/>
  <c r="AN33" i="1"/>
  <c r="AK34" i="1"/>
  <c r="AL34" i="1"/>
  <c r="AM34" i="1"/>
  <c r="AN34" i="1"/>
  <c r="AK35" i="1"/>
  <c r="AL35" i="1"/>
  <c r="AM35" i="1"/>
  <c r="AN35" i="1"/>
  <c r="AK36" i="1"/>
  <c r="AL36" i="1"/>
  <c r="AM36" i="1"/>
  <c r="AN36" i="1"/>
  <c r="AK37" i="1"/>
  <c r="AL37" i="1"/>
  <c r="AM37" i="1"/>
  <c r="AN37" i="1"/>
  <c r="AK38" i="1"/>
  <c r="AL38" i="1"/>
  <c r="AM38" i="1"/>
  <c r="AN38" i="1"/>
  <c r="AK39" i="1"/>
  <c r="AL39" i="1"/>
  <c r="AM39" i="1"/>
  <c r="AN39" i="1"/>
  <c r="AK40" i="1"/>
  <c r="AL40" i="1"/>
  <c r="AM40" i="1"/>
  <c r="AN40" i="1"/>
  <c r="AK41" i="1"/>
  <c r="AL41" i="1"/>
  <c r="AM41" i="1"/>
  <c r="AN41" i="1"/>
  <c r="AK42" i="1"/>
  <c r="AL42" i="1"/>
  <c r="AM42" i="1"/>
  <c r="AN42" i="1"/>
  <c r="AK43" i="1"/>
  <c r="AL43" i="1"/>
  <c r="AM43" i="1"/>
  <c r="AN43" i="1"/>
  <c r="AK44" i="1"/>
  <c r="AL44" i="1"/>
  <c r="AM44" i="1"/>
  <c r="AN44" i="1"/>
  <c r="AK45" i="1"/>
  <c r="AL45" i="1"/>
  <c r="AM45" i="1"/>
  <c r="AN45" i="1"/>
  <c r="AK46" i="1"/>
  <c r="AL46" i="1"/>
  <c r="AM46" i="1"/>
  <c r="AN46" i="1"/>
  <c r="AK47" i="1"/>
  <c r="AL47" i="1"/>
  <c r="AM47" i="1"/>
  <c r="AN47" i="1"/>
  <c r="AK48" i="1"/>
  <c r="AL48" i="1"/>
  <c r="AM48" i="1"/>
  <c r="AN48" i="1"/>
  <c r="AK49" i="1"/>
  <c r="AL49" i="1"/>
  <c r="AM49" i="1"/>
  <c r="AN49" i="1"/>
  <c r="AK50" i="1"/>
  <c r="AL50" i="1"/>
  <c r="AM50" i="1"/>
  <c r="AN50" i="1"/>
  <c r="AK51" i="1"/>
  <c r="AL51" i="1"/>
  <c r="AM51" i="1"/>
  <c r="AN51" i="1"/>
  <c r="AK52" i="1"/>
  <c r="AL52" i="1"/>
  <c r="AM52" i="1"/>
  <c r="AN52" i="1"/>
  <c r="AK53" i="1"/>
  <c r="AL53" i="1"/>
  <c r="AM53" i="1"/>
  <c r="AN53" i="1"/>
  <c r="AK54" i="1"/>
  <c r="AL54" i="1"/>
  <c r="AM54" i="1"/>
  <c r="AN54" i="1"/>
  <c r="AK55" i="1"/>
  <c r="AL55" i="1"/>
  <c r="AM55" i="1"/>
  <c r="AN55" i="1"/>
  <c r="AK56" i="1"/>
  <c r="AL56" i="1"/>
  <c r="AM56" i="1"/>
  <c r="AN56" i="1"/>
  <c r="AK57" i="1"/>
  <c r="AL57" i="1"/>
  <c r="AM57" i="1"/>
  <c r="AN57" i="1"/>
  <c r="AK58" i="1"/>
  <c r="AL58" i="1"/>
  <c r="AM58" i="1"/>
  <c r="AN58" i="1"/>
  <c r="AK59" i="1"/>
  <c r="AL59" i="1"/>
  <c r="AM59" i="1"/>
  <c r="AN59" i="1"/>
  <c r="AK60" i="1"/>
  <c r="AL60" i="1"/>
  <c r="AM60" i="1"/>
  <c r="AN60" i="1"/>
  <c r="AK61" i="1"/>
  <c r="AL61" i="1"/>
  <c r="AM61" i="1"/>
  <c r="AN61" i="1"/>
  <c r="AK62" i="1"/>
  <c r="AL62" i="1"/>
  <c r="AM62" i="1"/>
  <c r="AN62" i="1"/>
  <c r="AK63" i="1"/>
  <c r="AL63" i="1"/>
  <c r="AM63" i="1"/>
  <c r="AN63" i="1"/>
  <c r="AK64" i="1"/>
  <c r="AL64" i="1"/>
  <c r="AM64" i="1"/>
  <c r="AN64" i="1"/>
  <c r="AK65" i="1"/>
  <c r="AL65" i="1"/>
  <c r="AM65" i="1"/>
  <c r="AN65" i="1"/>
  <c r="AK66" i="1"/>
  <c r="AL66" i="1"/>
  <c r="AM66" i="1"/>
  <c r="AN66" i="1"/>
  <c r="AK67" i="1"/>
  <c r="AL67" i="1"/>
  <c r="AM67" i="1"/>
  <c r="AN67" i="1"/>
  <c r="AK68" i="1"/>
  <c r="AL68" i="1"/>
  <c r="AM68" i="1"/>
  <c r="AN68" i="1"/>
  <c r="AK69" i="1"/>
  <c r="AL69" i="1"/>
  <c r="AM69" i="1"/>
  <c r="AN69" i="1"/>
  <c r="AK70" i="1"/>
  <c r="AL70" i="1"/>
  <c r="AM70" i="1"/>
  <c r="AN70" i="1"/>
  <c r="AK71" i="1"/>
  <c r="AL71" i="1"/>
  <c r="AM71" i="1"/>
  <c r="AN71" i="1"/>
  <c r="AK72" i="1"/>
  <c r="AL72" i="1"/>
  <c r="AM72" i="1"/>
  <c r="AN72" i="1"/>
  <c r="AK73" i="1"/>
  <c r="AL73" i="1"/>
  <c r="AM73" i="1"/>
  <c r="AN73" i="1"/>
  <c r="AK74" i="1"/>
  <c r="AL74" i="1"/>
  <c r="AM74" i="1"/>
  <c r="AN74" i="1"/>
  <c r="AK75" i="1"/>
  <c r="AL75" i="1"/>
  <c r="AM75" i="1"/>
  <c r="AN75" i="1"/>
  <c r="AK76" i="1"/>
  <c r="AL76" i="1"/>
  <c r="AM76" i="1"/>
  <c r="AN76" i="1"/>
  <c r="AK77" i="1"/>
  <c r="AL77" i="1"/>
  <c r="AM77" i="1"/>
  <c r="AN77" i="1"/>
  <c r="AK78" i="1"/>
  <c r="AL78" i="1"/>
  <c r="AM78" i="1"/>
  <c r="AN78" i="1"/>
  <c r="AK79" i="1"/>
  <c r="AL79" i="1"/>
  <c r="AM79" i="1"/>
  <c r="AN79" i="1"/>
  <c r="AK80" i="1"/>
  <c r="AL80" i="1"/>
  <c r="AM80" i="1"/>
  <c r="AN80" i="1"/>
  <c r="AK81" i="1"/>
  <c r="AL81" i="1"/>
  <c r="AM81" i="1"/>
  <c r="AN81" i="1"/>
  <c r="AK82" i="1"/>
  <c r="AL82" i="1"/>
  <c r="AM82" i="1"/>
  <c r="AN82" i="1"/>
  <c r="AK83" i="1"/>
  <c r="AL83" i="1"/>
  <c r="AM83" i="1"/>
  <c r="AN83" i="1"/>
  <c r="AK84" i="1"/>
  <c r="AL84" i="1"/>
  <c r="AM84" i="1"/>
  <c r="AN84" i="1"/>
  <c r="AK85" i="1"/>
  <c r="AL85" i="1"/>
  <c r="AM85" i="1"/>
  <c r="AN85" i="1"/>
  <c r="AK86" i="1"/>
  <c r="AL86" i="1"/>
  <c r="AM86" i="1"/>
  <c r="AN86" i="1"/>
  <c r="AK87" i="1"/>
  <c r="AL87" i="1"/>
  <c r="AM87" i="1"/>
  <c r="AN87" i="1"/>
  <c r="AK88" i="1"/>
  <c r="AL88" i="1"/>
  <c r="AM88" i="1"/>
  <c r="AN88" i="1"/>
  <c r="AK89" i="1"/>
  <c r="AL89" i="1"/>
  <c r="AM89" i="1"/>
  <c r="AN89" i="1"/>
  <c r="AK90" i="1"/>
  <c r="AL90" i="1"/>
  <c r="AM90" i="1"/>
  <c r="AN90" i="1"/>
  <c r="AK91" i="1"/>
  <c r="AL91" i="1"/>
  <c r="AM91" i="1"/>
  <c r="AN91" i="1"/>
  <c r="AK92" i="1"/>
  <c r="AL92" i="1"/>
  <c r="AM92" i="1"/>
  <c r="AN92" i="1"/>
  <c r="AK93" i="1"/>
  <c r="AL93" i="1"/>
  <c r="AM93" i="1"/>
  <c r="AN93" i="1"/>
  <c r="AK94" i="1"/>
  <c r="AL94" i="1"/>
  <c r="AM94" i="1"/>
  <c r="AN94" i="1"/>
  <c r="AK95" i="1"/>
  <c r="AL95" i="1"/>
  <c r="AM95" i="1"/>
  <c r="AN95" i="1"/>
  <c r="AK96" i="1"/>
  <c r="AL96" i="1"/>
  <c r="AM96" i="1"/>
  <c r="AN96" i="1"/>
  <c r="AK97" i="1"/>
  <c r="AL97" i="1"/>
  <c r="AM97" i="1"/>
  <c r="AN97" i="1"/>
  <c r="AK98" i="1"/>
  <c r="AL98" i="1"/>
  <c r="AM98" i="1"/>
  <c r="AN98" i="1"/>
  <c r="AK99" i="1"/>
  <c r="AL99" i="1"/>
  <c r="AM99" i="1"/>
  <c r="AN99" i="1"/>
  <c r="AK100" i="1"/>
  <c r="AL100" i="1"/>
  <c r="AM100" i="1"/>
  <c r="AN100" i="1"/>
  <c r="AK101" i="1"/>
  <c r="AL101" i="1"/>
  <c r="AM101" i="1"/>
  <c r="AN101" i="1"/>
  <c r="AK102" i="1"/>
  <c r="AL102" i="1"/>
  <c r="AM102" i="1"/>
  <c r="AN102" i="1"/>
  <c r="AK103" i="1"/>
  <c r="AL103" i="1"/>
  <c r="AM103" i="1"/>
  <c r="AN103" i="1"/>
  <c r="AK104" i="1"/>
  <c r="AL104" i="1"/>
  <c r="AM104" i="1"/>
  <c r="AN104" i="1"/>
  <c r="AK105" i="1"/>
  <c r="AL105" i="1"/>
  <c r="AM105" i="1"/>
  <c r="AN105" i="1"/>
  <c r="AK106" i="1"/>
  <c r="AL106" i="1"/>
  <c r="AM106" i="1"/>
  <c r="AN106" i="1"/>
  <c r="AK107" i="1"/>
  <c r="AL107" i="1"/>
  <c r="AM107" i="1"/>
  <c r="AN107" i="1"/>
  <c r="AK108" i="1"/>
  <c r="AL108" i="1"/>
  <c r="AM108" i="1"/>
  <c r="AN108" i="1"/>
  <c r="AK109" i="1"/>
  <c r="AL109" i="1"/>
  <c r="AM109" i="1"/>
  <c r="AN109" i="1"/>
  <c r="AK110" i="1"/>
  <c r="AL110" i="1"/>
  <c r="AM110" i="1"/>
  <c r="AN110" i="1"/>
  <c r="AK111" i="1"/>
  <c r="AL111" i="1"/>
  <c r="AM111" i="1"/>
  <c r="AN111" i="1"/>
  <c r="AK112" i="1"/>
  <c r="AL112" i="1"/>
  <c r="AM112" i="1"/>
  <c r="AN112" i="1"/>
  <c r="AK113" i="1"/>
  <c r="AL113" i="1"/>
  <c r="AM113" i="1"/>
  <c r="AN113" i="1"/>
  <c r="AK114" i="1"/>
  <c r="AL114" i="1"/>
  <c r="AM114" i="1"/>
  <c r="AN114" i="1"/>
  <c r="AK115" i="1"/>
  <c r="AL115" i="1"/>
  <c r="AM115" i="1"/>
  <c r="AN115" i="1"/>
  <c r="AK116" i="1"/>
  <c r="AL116" i="1"/>
  <c r="AM116" i="1"/>
  <c r="AN116" i="1"/>
  <c r="AK117" i="1"/>
  <c r="AL117" i="1"/>
  <c r="AM117" i="1"/>
  <c r="AN117" i="1"/>
  <c r="AK118" i="1"/>
  <c r="AL118" i="1"/>
  <c r="AM118" i="1"/>
  <c r="AN118" i="1"/>
  <c r="AK119" i="1"/>
  <c r="AL119" i="1"/>
  <c r="AM119" i="1"/>
  <c r="AN119" i="1"/>
  <c r="AK120" i="1"/>
  <c r="AL120" i="1"/>
  <c r="AM120" i="1"/>
  <c r="AN120" i="1"/>
  <c r="AK121" i="1"/>
  <c r="AL121" i="1"/>
  <c r="AM121" i="1"/>
  <c r="AN121" i="1"/>
  <c r="AK122" i="1"/>
  <c r="AL122" i="1"/>
  <c r="AM122" i="1"/>
  <c r="AN122" i="1"/>
  <c r="AK123" i="1"/>
  <c r="AL123" i="1"/>
  <c r="AM123" i="1"/>
  <c r="AN123" i="1"/>
  <c r="AK124" i="1"/>
  <c r="AL124" i="1"/>
  <c r="AM124" i="1"/>
  <c r="AN124" i="1"/>
  <c r="AK125" i="1"/>
  <c r="AL125" i="1"/>
  <c r="AM125" i="1"/>
  <c r="AN125" i="1"/>
  <c r="AK126" i="1"/>
  <c r="AL126" i="1"/>
  <c r="AM126" i="1"/>
  <c r="AN126" i="1"/>
  <c r="AZ2" i="1" a="1"/>
  <c r="AZ2" i="1" s="1"/>
  <c r="BJ6" i="1" a="1"/>
  <c r="BJ6" i="1" s="1"/>
  <c r="BJ2" i="1" a="1"/>
  <c r="BJ2" i="1" s="1"/>
  <c r="BE2" i="1" a="1"/>
  <c r="BE2" i="1" s="1"/>
  <c r="FR3" i="1" a="1"/>
  <c r="FR3" i="1" s="1"/>
  <c r="FW3" i="1" a="1"/>
  <c r="FW3" i="1" s="1"/>
  <c r="FX3" i="1" a="1"/>
  <c r="FX3" i="1" s="1"/>
  <c r="FY3" i="1" a="1"/>
  <c r="FY3" i="1" s="1"/>
  <c r="FZ3" i="1" a="1"/>
  <c r="FZ3" i="1" s="1"/>
  <c r="GA3" i="1" a="1"/>
  <c r="GA3" i="1" s="1"/>
  <c r="GB3" i="1" a="1"/>
  <c r="GB3" i="1" s="1"/>
  <c r="GC3" i="1" a="1"/>
  <c r="GC3" i="1" s="1"/>
  <c r="GD3" i="1" a="1"/>
  <c r="GD3" i="1" s="1"/>
  <c r="GE3" i="1" a="1"/>
  <c r="GE3" i="1" s="1"/>
  <c r="GF3" i="1" a="1"/>
  <c r="GF3" i="1" s="1"/>
  <c r="GG3" i="1" a="1"/>
  <c r="GG3" i="1" s="1"/>
  <c r="GH3" i="1" a="1"/>
  <c r="GH3" i="1" s="1"/>
  <c r="GI3" i="1" a="1"/>
  <c r="GI3" i="1" s="1"/>
  <c r="GJ3" i="1" a="1"/>
  <c r="GJ3" i="1" s="1"/>
  <c r="GK3" i="1" a="1"/>
  <c r="GK3" i="1" s="1"/>
  <c r="GL3" i="1" a="1"/>
  <c r="GL3" i="1" s="1"/>
  <c r="GM3" i="1" a="1"/>
  <c r="GM3" i="1" s="1"/>
  <c r="GN3" i="1" a="1"/>
  <c r="GN3" i="1" s="1"/>
  <c r="GO3" i="1" a="1"/>
  <c r="GO3" i="1" s="1"/>
  <c r="GP3" i="1" a="1"/>
  <c r="GP3" i="1" s="1"/>
  <c r="FR4" i="1" a="1"/>
  <c r="FR4" i="1" s="1"/>
  <c r="FW4" i="1" a="1"/>
  <c r="FW4" i="1" s="1"/>
  <c r="FX4" i="1" a="1"/>
  <c r="FX4" i="1" s="1"/>
  <c r="FY4" i="1" a="1"/>
  <c r="FY4" i="1" s="1"/>
  <c r="FZ4" i="1" a="1"/>
  <c r="FZ4" i="1" s="1"/>
  <c r="GA4" i="1" a="1"/>
  <c r="GA4" i="1" s="1"/>
  <c r="GB4" i="1" a="1"/>
  <c r="GB4" i="1" s="1"/>
  <c r="GC4" i="1" a="1"/>
  <c r="GC4" i="1" s="1"/>
  <c r="GD4" i="1" a="1"/>
  <c r="GD4" i="1" s="1"/>
  <c r="GE4" i="1" a="1"/>
  <c r="GE4" i="1" s="1"/>
  <c r="GF4" i="1" a="1"/>
  <c r="GF4" i="1" s="1"/>
  <c r="GG4" i="1" a="1"/>
  <c r="GG4" i="1" s="1"/>
  <c r="GH4" i="1" a="1"/>
  <c r="GH4" i="1" s="1"/>
  <c r="GI4" i="1" a="1"/>
  <c r="GI4" i="1" s="1"/>
  <c r="GJ4" i="1" a="1"/>
  <c r="GJ4" i="1" s="1"/>
  <c r="GK4" i="1" a="1"/>
  <c r="GK4" i="1" s="1"/>
  <c r="GL4" i="1" a="1"/>
  <c r="GL4" i="1" s="1"/>
  <c r="GM4" i="1" a="1"/>
  <c r="GM4" i="1" s="1"/>
  <c r="GN4" i="1" a="1"/>
  <c r="GN4" i="1" s="1"/>
  <c r="GO4" i="1" a="1"/>
  <c r="GO4" i="1" s="1"/>
  <c r="GP4" i="1" a="1"/>
  <c r="GP4" i="1" s="1"/>
  <c r="FR5" i="1" a="1"/>
  <c r="FR5" i="1" s="1"/>
  <c r="FW5" i="1" a="1"/>
  <c r="FW5" i="1" s="1"/>
  <c r="FX5" i="1" a="1"/>
  <c r="FX5" i="1" s="1"/>
  <c r="FY5" i="1" a="1"/>
  <c r="FY5" i="1" s="1"/>
  <c r="FZ5" i="1" a="1"/>
  <c r="FZ5" i="1" s="1"/>
  <c r="GA5" i="1" a="1"/>
  <c r="GA5" i="1" s="1"/>
  <c r="GB5" i="1" a="1"/>
  <c r="GB5" i="1" s="1"/>
  <c r="GC5" i="1" a="1"/>
  <c r="GC5" i="1" s="1"/>
  <c r="GD5" i="1" a="1"/>
  <c r="GD5" i="1" s="1"/>
  <c r="GE5" i="1" a="1"/>
  <c r="GE5" i="1" s="1"/>
  <c r="GF5" i="1" a="1"/>
  <c r="GF5" i="1" s="1"/>
  <c r="GG5" i="1" a="1"/>
  <c r="GG5" i="1" s="1"/>
  <c r="GH5" i="1" a="1"/>
  <c r="GH5" i="1" s="1"/>
  <c r="GI5" i="1" a="1"/>
  <c r="GI5" i="1" s="1"/>
  <c r="GJ5" i="1" a="1"/>
  <c r="GJ5" i="1" s="1"/>
  <c r="GK5" i="1" a="1"/>
  <c r="GK5" i="1" s="1"/>
  <c r="GL5" i="1" a="1"/>
  <c r="GL5" i="1" s="1"/>
  <c r="GM5" i="1" a="1"/>
  <c r="GM5" i="1" s="1"/>
  <c r="GN5" i="1" a="1"/>
  <c r="GN5" i="1" s="1"/>
  <c r="GO5" i="1" a="1"/>
  <c r="GO5" i="1" s="1"/>
  <c r="GP5" i="1" a="1"/>
  <c r="GP5" i="1" s="1"/>
  <c r="FR6" i="1" a="1"/>
  <c r="FR6" i="1" s="1"/>
  <c r="FW6" i="1" a="1"/>
  <c r="FW6" i="1" s="1"/>
  <c r="FX6" i="1" a="1"/>
  <c r="FX6" i="1" s="1"/>
  <c r="FY6" i="1" a="1"/>
  <c r="FY6" i="1" s="1"/>
  <c r="FZ6" i="1" a="1"/>
  <c r="FZ6" i="1" s="1"/>
  <c r="GA6" i="1" a="1"/>
  <c r="GA6" i="1" s="1"/>
  <c r="GB6" i="1" a="1"/>
  <c r="GB6" i="1" s="1"/>
  <c r="GC6" i="1" a="1"/>
  <c r="GC6" i="1" s="1"/>
  <c r="GD6" i="1" a="1"/>
  <c r="GD6" i="1" s="1"/>
  <c r="GE6" i="1" a="1"/>
  <c r="GE6" i="1" s="1"/>
  <c r="GF6" i="1" a="1"/>
  <c r="GF6" i="1" s="1"/>
  <c r="GG6" i="1" a="1"/>
  <c r="GG6" i="1" s="1"/>
  <c r="GH6" i="1" a="1"/>
  <c r="GH6" i="1" s="1"/>
  <c r="GI6" i="1" a="1"/>
  <c r="GI6" i="1" s="1"/>
  <c r="GJ6" i="1" a="1"/>
  <c r="GJ6" i="1" s="1"/>
  <c r="GK6" i="1" a="1"/>
  <c r="GK6" i="1"/>
  <c r="GL6" i="1" a="1"/>
  <c r="GL6" i="1" s="1"/>
  <c r="GM6" i="1" a="1"/>
  <c r="GM6" i="1" s="1"/>
  <c r="GN6" i="1" a="1"/>
  <c r="GN6" i="1" s="1"/>
  <c r="GO6" i="1" a="1"/>
  <c r="GO6" i="1" s="1"/>
  <c r="GP6" i="1" a="1"/>
  <c r="GP6" i="1" s="1"/>
  <c r="FR7" i="1" a="1"/>
  <c r="FR7" i="1" s="1"/>
  <c r="FW7" i="1" a="1"/>
  <c r="FW7" i="1" s="1"/>
  <c r="FX7" i="1" a="1"/>
  <c r="FX7" i="1" s="1"/>
  <c r="FY7" i="1" a="1"/>
  <c r="FY7" i="1" s="1"/>
  <c r="FZ7" i="1" a="1"/>
  <c r="FZ7" i="1" s="1"/>
  <c r="GA7" i="1" a="1"/>
  <c r="GA7" i="1" s="1"/>
  <c r="GB7" i="1" a="1"/>
  <c r="GB7" i="1" s="1"/>
  <c r="GC7" i="1" a="1"/>
  <c r="GC7" i="1" s="1"/>
  <c r="GD7" i="1" a="1"/>
  <c r="GD7" i="1" s="1"/>
  <c r="GE7" i="1" a="1"/>
  <c r="GE7" i="1" s="1"/>
  <c r="GF7" i="1" a="1"/>
  <c r="GF7" i="1" s="1"/>
  <c r="GG7" i="1" a="1"/>
  <c r="GG7" i="1" s="1"/>
  <c r="GH7" i="1" a="1"/>
  <c r="GH7" i="1" s="1"/>
  <c r="GI7" i="1" a="1"/>
  <c r="GI7" i="1" s="1"/>
  <c r="GJ7" i="1" a="1"/>
  <c r="GJ7" i="1" s="1"/>
  <c r="GK7" i="1" a="1"/>
  <c r="GK7" i="1" s="1"/>
  <c r="GL7" i="1" a="1"/>
  <c r="GL7" i="1" s="1"/>
  <c r="GM7" i="1" a="1"/>
  <c r="GM7" i="1" s="1"/>
  <c r="GN7" i="1" a="1"/>
  <c r="GN7" i="1" s="1"/>
  <c r="GO7" i="1" a="1"/>
  <c r="GO7" i="1" s="1"/>
  <c r="GP7" i="1" a="1"/>
  <c r="GP7" i="1" s="1"/>
  <c r="FR8" i="1" a="1"/>
  <c r="FR8" i="1" s="1"/>
  <c r="FW8" i="1" a="1"/>
  <c r="FW8" i="1" s="1"/>
  <c r="FX8" i="1" a="1"/>
  <c r="FX8" i="1" s="1"/>
  <c r="FY8" i="1" a="1"/>
  <c r="FY8" i="1" s="1"/>
  <c r="FZ8" i="1" a="1"/>
  <c r="FZ8" i="1" s="1"/>
  <c r="GA8" i="1" a="1"/>
  <c r="GA8" i="1" s="1"/>
  <c r="GB8" i="1" a="1"/>
  <c r="GB8" i="1" s="1"/>
  <c r="GC8" i="1" a="1"/>
  <c r="GC8" i="1" s="1"/>
  <c r="GD8" i="1" a="1"/>
  <c r="GD8" i="1" s="1"/>
  <c r="GE8" i="1" a="1"/>
  <c r="GE8" i="1" s="1"/>
  <c r="GF8" i="1" a="1"/>
  <c r="GF8" i="1" s="1"/>
  <c r="GG8" i="1" a="1"/>
  <c r="GG8" i="1" s="1"/>
  <c r="GH8" i="1" a="1"/>
  <c r="GH8" i="1" s="1"/>
  <c r="GI8" i="1" a="1"/>
  <c r="GI8" i="1" s="1"/>
  <c r="GJ8" i="1" a="1"/>
  <c r="GJ8" i="1" s="1"/>
  <c r="GK8" i="1" a="1"/>
  <c r="GK8" i="1" s="1"/>
  <c r="GL8" i="1" a="1"/>
  <c r="GL8" i="1" s="1"/>
  <c r="GM8" i="1" a="1"/>
  <c r="GM8" i="1" s="1"/>
  <c r="GN8" i="1" a="1"/>
  <c r="GN8" i="1" s="1"/>
  <c r="GO8" i="1" a="1"/>
  <c r="GO8" i="1" s="1"/>
  <c r="GP8" i="1" a="1"/>
  <c r="GP8" i="1" s="1"/>
  <c r="FR9" i="1" a="1"/>
  <c r="FR9" i="1" s="1"/>
  <c r="FW9" i="1" a="1"/>
  <c r="FW9" i="1" s="1"/>
  <c r="FX9" i="1" a="1"/>
  <c r="FX9" i="1" s="1"/>
  <c r="FY9" i="1" a="1"/>
  <c r="FY9" i="1" s="1"/>
  <c r="FZ9" i="1" a="1"/>
  <c r="FZ9" i="1" s="1"/>
  <c r="GA9" i="1" a="1"/>
  <c r="GA9" i="1" s="1"/>
  <c r="GB9" i="1" a="1"/>
  <c r="GB9" i="1" s="1"/>
  <c r="GC9" i="1" a="1"/>
  <c r="GC9" i="1" s="1"/>
  <c r="GD9" i="1" a="1"/>
  <c r="GD9" i="1" s="1"/>
  <c r="GE9" i="1" a="1"/>
  <c r="GE9" i="1" s="1"/>
  <c r="GF9" i="1" a="1"/>
  <c r="GF9" i="1" s="1"/>
  <c r="GG9" i="1" a="1"/>
  <c r="GG9" i="1" s="1"/>
  <c r="GH9" i="1" a="1"/>
  <c r="GH9" i="1" s="1"/>
  <c r="GI9" i="1" a="1"/>
  <c r="GI9" i="1" s="1"/>
  <c r="GJ9" i="1" a="1"/>
  <c r="GJ9" i="1" s="1"/>
  <c r="GK9" i="1" a="1"/>
  <c r="GK9" i="1" s="1"/>
  <c r="GL9" i="1" a="1"/>
  <c r="GL9" i="1" s="1"/>
  <c r="GM9" i="1" a="1"/>
  <c r="GM9" i="1" s="1"/>
  <c r="GN9" i="1" a="1"/>
  <c r="GN9" i="1" s="1"/>
  <c r="GO9" i="1" a="1"/>
  <c r="GO9" i="1" s="1"/>
  <c r="GP9" i="1" a="1"/>
  <c r="GP9" i="1" s="1"/>
  <c r="FR10" i="1" a="1"/>
  <c r="FR10" i="1" s="1"/>
  <c r="FW10" i="1" a="1"/>
  <c r="FW10" i="1" s="1"/>
  <c r="FX10" i="1" a="1"/>
  <c r="FX10" i="1" s="1"/>
  <c r="FY10" i="1" a="1"/>
  <c r="FY10" i="1" s="1"/>
  <c r="FZ10" i="1" a="1"/>
  <c r="FZ10" i="1" s="1"/>
  <c r="GA10" i="1" a="1"/>
  <c r="GA10" i="1" s="1"/>
  <c r="GB10" i="1" a="1"/>
  <c r="GB10" i="1" s="1"/>
  <c r="GC10" i="1" a="1"/>
  <c r="GC10" i="1" s="1"/>
  <c r="GD10" i="1" a="1"/>
  <c r="GD10" i="1" s="1"/>
  <c r="GE10" i="1" a="1"/>
  <c r="GE10" i="1" s="1"/>
  <c r="GF10" i="1" a="1"/>
  <c r="GF10" i="1" s="1"/>
  <c r="GG10" i="1" a="1"/>
  <c r="GG10" i="1" s="1"/>
  <c r="GH10" i="1" a="1"/>
  <c r="GH10" i="1" s="1"/>
  <c r="GI10" i="1" a="1"/>
  <c r="GI10" i="1" s="1"/>
  <c r="GJ10" i="1" a="1"/>
  <c r="GJ10" i="1" s="1"/>
  <c r="GK10" i="1" a="1"/>
  <c r="GK10" i="1" s="1"/>
  <c r="GL10" i="1" a="1"/>
  <c r="GL10" i="1" s="1"/>
  <c r="GM10" i="1" a="1"/>
  <c r="GM10" i="1" s="1"/>
  <c r="GN10" i="1" a="1"/>
  <c r="GN10" i="1" s="1"/>
  <c r="GO10" i="1" a="1"/>
  <c r="GO10" i="1" s="1"/>
  <c r="GP10" i="1" a="1"/>
  <c r="GP10" i="1" s="1"/>
  <c r="FR11" i="1" a="1"/>
  <c r="FR11" i="1" s="1"/>
  <c r="FW11" i="1" a="1"/>
  <c r="FW11" i="1" s="1"/>
  <c r="FX11" i="1" a="1"/>
  <c r="FX11" i="1"/>
  <c r="FY11" i="1" a="1"/>
  <c r="FY11" i="1" s="1"/>
  <c r="FZ11" i="1" a="1"/>
  <c r="FZ11" i="1" s="1"/>
  <c r="GA11" i="1" a="1"/>
  <c r="GA11" i="1" s="1"/>
  <c r="GB11" i="1" a="1"/>
  <c r="GB11" i="1" s="1"/>
  <c r="GC11" i="1" a="1"/>
  <c r="GC11" i="1" s="1"/>
  <c r="GD11" i="1" a="1"/>
  <c r="GD11" i="1" s="1"/>
  <c r="GE11" i="1" a="1"/>
  <c r="GE11" i="1" s="1"/>
  <c r="GF11" i="1" a="1"/>
  <c r="GF11" i="1" s="1"/>
  <c r="GG11" i="1" a="1"/>
  <c r="GG11" i="1" s="1"/>
  <c r="GH11" i="1" a="1"/>
  <c r="GH11" i="1" s="1"/>
  <c r="GI11" i="1" a="1"/>
  <c r="GI11" i="1" s="1"/>
  <c r="GJ11" i="1" a="1"/>
  <c r="GJ11" i="1" s="1"/>
  <c r="GK11" i="1" a="1"/>
  <c r="GK11" i="1" s="1"/>
  <c r="GL11" i="1" a="1"/>
  <c r="GL11" i="1" s="1"/>
  <c r="GM11" i="1" a="1"/>
  <c r="GM11" i="1" s="1"/>
  <c r="GN11" i="1" a="1"/>
  <c r="GN11" i="1" s="1"/>
  <c r="GO11" i="1" a="1"/>
  <c r="GO11" i="1" s="1"/>
  <c r="GP11" i="1" a="1"/>
  <c r="GP11" i="1" s="1"/>
  <c r="FR12" i="1" a="1"/>
  <c r="FR12" i="1" s="1"/>
  <c r="FW12" i="1" a="1"/>
  <c r="FW12" i="1" s="1"/>
  <c r="FX12" i="1" a="1"/>
  <c r="FX12" i="1" s="1"/>
  <c r="FY12" i="1" a="1"/>
  <c r="FY12" i="1" s="1"/>
  <c r="FZ12" i="1" a="1"/>
  <c r="FZ12" i="1" s="1"/>
  <c r="GA12" i="1" a="1"/>
  <c r="GA12" i="1" s="1"/>
  <c r="GB12" i="1" a="1"/>
  <c r="GB12" i="1" s="1"/>
  <c r="GC12" i="1" a="1"/>
  <c r="GC12" i="1" s="1"/>
  <c r="GD12" i="1" a="1"/>
  <c r="GD12" i="1" s="1"/>
  <c r="GE12" i="1" a="1"/>
  <c r="GE12" i="1" s="1"/>
  <c r="GF12" i="1" a="1"/>
  <c r="GF12" i="1" s="1"/>
  <c r="GG12" i="1" a="1"/>
  <c r="GG12" i="1" s="1"/>
  <c r="GH12" i="1" a="1"/>
  <c r="GH12" i="1" s="1"/>
  <c r="GI12" i="1" a="1"/>
  <c r="GI12" i="1" s="1"/>
  <c r="GJ12" i="1" a="1"/>
  <c r="GJ12" i="1" s="1"/>
  <c r="GK12" i="1" a="1"/>
  <c r="GK12" i="1" s="1"/>
  <c r="GL12" i="1" a="1"/>
  <c r="GL12" i="1" s="1"/>
  <c r="GM12" i="1" a="1"/>
  <c r="GM12" i="1" s="1"/>
  <c r="GN12" i="1" a="1"/>
  <c r="GN12" i="1" s="1"/>
  <c r="GO12" i="1" a="1"/>
  <c r="GO12" i="1" s="1"/>
  <c r="GP12" i="1" a="1"/>
  <c r="GP12" i="1" s="1"/>
  <c r="FR13" i="1" a="1"/>
  <c r="FR13" i="1" s="1"/>
  <c r="FW13" i="1" a="1"/>
  <c r="FW13" i="1" s="1"/>
  <c r="FX13" i="1" a="1"/>
  <c r="FX13" i="1" s="1"/>
  <c r="FY13" i="1" a="1"/>
  <c r="FY13" i="1" s="1"/>
  <c r="FZ13" i="1" a="1"/>
  <c r="FZ13" i="1" s="1"/>
  <c r="GA13" i="1" a="1"/>
  <c r="GA13" i="1" s="1"/>
  <c r="GB13" i="1" a="1"/>
  <c r="GB13" i="1" s="1"/>
  <c r="GC13" i="1" a="1"/>
  <c r="GC13" i="1" s="1"/>
  <c r="GD13" i="1" a="1"/>
  <c r="GD13" i="1" s="1"/>
  <c r="GE13" i="1" a="1"/>
  <c r="GE13" i="1" s="1"/>
  <c r="GF13" i="1" a="1"/>
  <c r="GF13" i="1" s="1"/>
  <c r="GG13" i="1" a="1"/>
  <c r="GG13" i="1" s="1"/>
  <c r="GH13" i="1" a="1"/>
  <c r="GH13" i="1" s="1"/>
  <c r="GI13" i="1" a="1"/>
  <c r="GI13" i="1" s="1"/>
  <c r="GJ13" i="1" a="1"/>
  <c r="GJ13" i="1" s="1"/>
  <c r="GK13" i="1" a="1"/>
  <c r="GK13" i="1" s="1"/>
  <c r="GL13" i="1" a="1"/>
  <c r="GL13" i="1" s="1"/>
  <c r="GM13" i="1" a="1"/>
  <c r="GM13" i="1" s="1"/>
  <c r="GN13" i="1" a="1"/>
  <c r="GN13" i="1" s="1"/>
  <c r="GO13" i="1" a="1"/>
  <c r="GO13" i="1" s="1"/>
  <c r="GP13" i="1" a="1"/>
  <c r="GP13" i="1" s="1"/>
  <c r="FR14" i="1" a="1"/>
  <c r="FR14" i="1" s="1"/>
  <c r="FW14" i="1" a="1"/>
  <c r="FW14" i="1" s="1"/>
  <c r="FX14" i="1" a="1"/>
  <c r="FX14" i="1" s="1"/>
  <c r="FY14" i="1" a="1"/>
  <c r="FY14" i="1" s="1"/>
  <c r="FZ14" i="1" a="1"/>
  <c r="FZ14" i="1" s="1"/>
  <c r="GA14" i="1" a="1"/>
  <c r="GA14" i="1" s="1"/>
  <c r="GB14" i="1" a="1"/>
  <c r="GB14" i="1" s="1"/>
  <c r="GC14" i="1" a="1"/>
  <c r="GC14" i="1" s="1"/>
  <c r="GD14" i="1" a="1"/>
  <c r="GD14" i="1" s="1"/>
  <c r="GE14" i="1" a="1"/>
  <c r="GE14" i="1" s="1"/>
  <c r="GF14" i="1" a="1"/>
  <c r="GF14" i="1" s="1"/>
  <c r="GG14" i="1" a="1"/>
  <c r="GG14" i="1" s="1"/>
  <c r="GH14" i="1" a="1"/>
  <c r="GH14" i="1" s="1"/>
  <c r="GI14" i="1" a="1"/>
  <c r="GI14" i="1" s="1"/>
  <c r="GJ14" i="1" a="1"/>
  <c r="GJ14" i="1" s="1"/>
  <c r="GK14" i="1" a="1"/>
  <c r="GK14" i="1" s="1"/>
  <c r="GL14" i="1" a="1"/>
  <c r="GL14" i="1" s="1"/>
  <c r="GM14" i="1" a="1"/>
  <c r="GM14" i="1" s="1"/>
  <c r="GN14" i="1" a="1"/>
  <c r="GN14" i="1" s="1"/>
  <c r="GO14" i="1" a="1"/>
  <c r="GO14" i="1"/>
  <c r="GP14" i="1" a="1"/>
  <c r="GP14" i="1" s="1"/>
  <c r="FR15" i="1" a="1"/>
  <c r="FR15" i="1" s="1"/>
  <c r="FW15" i="1" a="1"/>
  <c r="FW15" i="1" s="1"/>
  <c r="FX15" i="1" a="1"/>
  <c r="FX15" i="1" s="1"/>
  <c r="FY15" i="1" a="1"/>
  <c r="FY15" i="1" s="1"/>
  <c r="FZ15" i="1" a="1"/>
  <c r="FZ15" i="1" s="1"/>
  <c r="GA15" i="1" a="1"/>
  <c r="GA15" i="1" s="1"/>
  <c r="GB15" i="1" a="1"/>
  <c r="GB15" i="1" s="1"/>
  <c r="GC15" i="1" a="1"/>
  <c r="GC15" i="1" s="1"/>
  <c r="GD15" i="1" a="1"/>
  <c r="GD15" i="1" s="1"/>
  <c r="GE15" i="1" a="1"/>
  <c r="GE15" i="1" s="1"/>
  <c r="GF15" i="1" a="1"/>
  <c r="GF15" i="1" s="1"/>
  <c r="GG15" i="1" a="1"/>
  <c r="GG15" i="1" s="1"/>
  <c r="GH15" i="1" a="1"/>
  <c r="GH15" i="1" s="1"/>
  <c r="GI15" i="1" a="1"/>
  <c r="GI15" i="1" s="1"/>
  <c r="GJ15" i="1" a="1"/>
  <c r="GJ15" i="1" s="1"/>
  <c r="GK15" i="1" a="1"/>
  <c r="GK15" i="1" s="1"/>
  <c r="GL15" i="1" a="1"/>
  <c r="GL15" i="1" s="1"/>
  <c r="GM15" i="1" a="1"/>
  <c r="GM15" i="1" s="1"/>
  <c r="GN15" i="1" a="1"/>
  <c r="GN15" i="1" s="1"/>
  <c r="GO15" i="1" a="1"/>
  <c r="GO15" i="1" s="1"/>
  <c r="GP15" i="1" a="1"/>
  <c r="GP15" i="1" s="1"/>
  <c r="FR16" i="1" a="1"/>
  <c r="FR16" i="1" s="1"/>
  <c r="FR17" i="1" a="1"/>
  <c r="FR17" i="1" s="1"/>
  <c r="FR18" i="1" a="1"/>
  <c r="FR18" i="1" s="1"/>
  <c r="FR19" i="1" a="1"/>
  <c r="FR19" i="1" s="1"/>
  <c r="FR20" i="1" a="1"/>
  <c r="FR20" i="1" s="1"/>
  <c r="FR21" i="1" a="1"/>
  <c r="FR21" i="1" s="1"/>
  <c r="FR22" i="1" a="1"/>
  <c r="FR22" i="1" s="1"/>
  <c r="FR23" i="1" a="1"/>
  <c r="FR23" i="1" s="1"/>
  <c r="FR26" i="1" a="1"/>
  <c r="FR26" i="1" s="1"/>
  <c r="FR27" i="1" a="1"/>
  <c r="FR27" i="1" s="1"/>
  <c r="FR28" i="1" a="1"/>
  <c r="FR28" i="1" s="1"/>
  <c r="FR29" i="1" a="1"/>
  <c r="FR29" i="1" s="1"/>
  <c r="FR30" i="1" a="1"/>
  <c r="FR30" i="1" s="1"/>
  <c r="FR31" i="1" a="1"/>
  <c r="FR31" i="1" s="1"/>
  <c r="FR32" i="1" a="1"/>
  <c r="FR32" i="1" s="1"/>
  <c r="FR33" i="1" a="1"/>
  <c r="FR33" i="1" s="1"/>
  <c r="FR34" i="1" a="1"/>
  <c r="FR34" i="1" s="1"/>
  <c r="FR35" i="1" a="1"/>
  <c r="FR35" i="1" s="1"/>
  <c r="FR36" i="1" a="1"/>
  <c r="FR36" i="1" s="1"/>
  <c r="FR37" i="1" a="1"/>
  <c r="FR37" i="1" s="1"/>
  <c r="FW37" i="1" a="1"/>
  <c r="FW37" i="1" s="1"/>
  <c r="FX37" i="1" a="1"/>
  <c r="FX37" i="1" s="1"/>
  <c r="FY37" i="1" a="1"/>
  <c r="FY37" i="1" s="1"/>
  <c r="FZ37" i="1" a="1"/>
  <c r="FZ37" i="1" s="1"/>
  <c r="GA37" i="1" a="1"/>
  <c r="GA37" i="1" s="1"/>
  <c r="GB37" i="1" a="1"/>
  <c r="GB37" i="1" s="1"/>
  <c r="GC37" i="1" a="1"/>
  <c r="GC37" i="1" s="1"/>
  <c r="GD37" i="1" a="1"/>
  <c r="GD37" i="1" s="1"/>
  <c r="GE37" i="1" a="1"/>
  <c r="GE37" i="1" s="1"/>
  <c r="GF37" i="1" a="1"/>
  <c r="GF37" i="1" s="1"/>
  <c r="GG37" i="1" a="1"/>
  <c r="GG37" i="1" s="1"/>
  <c r="GH37" i="1" a="1"/>
  <c r="GH37" i="1" s="1"/>
  <c r="GI37" i="1" a="1"/>
  <c r="GI37" i="1" s="1"/>
  <c r="GJ37" i="1" a="1"/>
  <c r="GJ37" i="1" s="1"/>
  <c r="GK37" i="1" a="1"/>
  <c r="GK37" i="1" s="1"/>
  <c r="GL37" i="1" a="1"/>
  <c r="GL37" i="1" s="1"/>
  <c r="GM37" i="1" a="1"/>
  <c r="GM37" i="1" s="1"/>
  <c r="GN37" i="1" a="1"/>
  <c r="GN37" i="1" s="1"/>
  <c r="GO37" i="1" a="1"/>
  <c r="GO37" i="1" s="1"/>
  <c r="GP37" i="1" a="1"/>
  <c r="GP37" i="1" s="1"/>
  <c r="GQ37" i="1" a="1"/>
  <c r="GQ37" i="1" s="1"/>
  <c r="GR37" i="1" a="1"/>
  <c r="GR37" i="1" s="1"/>
  <c r="FR38" i="1" a="1"/>
  <c r="FR38" i="1" s="1"/>
  <c r="FW38" i="1" a="1"/>
  <c r="FW38" i="1" s="1"/>
  <c r="FX38" i="1" a="1"/>
  <c r="FX38" i="1" s="1"/>
  <c r="FY38" i="1" a="1"/>
  <c r="FY38" i="1" s="1"/>
  <c r="FZ38" i="1" a="1"/>
  <c r="FZ38" i="1" s="1"/>
  <c r="GA38" i="1" a="1"/>
  <c r="GA38" i="1" s="1"/>
  <c r="GB38" i="1" a="1"/>
  <c r="GB38" i="1" s="1"/>
  <c r="GC38" i="1" a="1"/>
  <c r="GC38" i="1" s="1"/>
  <c r="GD38" i="1" a="1"/>
  <c r="GD38" i="1" s="1"/>
  <c r="GE38" i="1" a="1"/>
  <c r="GE38" i="1" s="1"/>
  <c r="GF38" i="1" a="1"/>
  <c r="GF38" i="1" s="1"/>
  <c r="GG38" i="1" a="1"/>
  <c r="GG38" i="1" s="1"/>
  <c r="GH38" i="1" a="1"/>
  <c r="GH38" i="1" s="1"/>
  <c r="GI38" i="1" a="1"/>
  <c r="GI38" i="1" s="1"/>
  <c r="GJ38" i="1" a="1"/>
  <c r="GJ38" i="1" s="1"/>
  <c r="GK38" i="1" a="1"/>
  <c r="GK38" i="1" s="1"/>
  <c r="GL38" i="1" a="1"/>
  <c r="GL38" i="1" s="1"/>
  <c r="GM38" i="1" a="1"/>
  <c r="GM38" i="1" s="1"/>
  <c r="GN38" i="1" a="1"/>
  <c r="GN38" i="1" s="1"/>
  <c r="GO38" i="1" a="1"/>
  <c r="GO38" i="1" s="1"/>
  <c r="GP38" i="1" a="1"/>
  <c r="GP38" i="1" s="1"/>
  <c r="GQ38" i="1" a="1"/>
  <c r="GQ38" i="1" s="1"/>
  <c r="GR38" i="1" a="1"/>
  <c r="GR38" i="1" s="1"/>
  <c r="FR39" i="1" a="1"/>
  <c r="FR39" i="1" s="1"/>
  <c r="FW39" i="1" a="1"/>
  <c r="FW39" i="1" s="1"/>
  <c r="FX39" i="1" a="1"/>
  <c r="FX39" i="1" s="1"/>
  <c r="FY39" i="1" a="1"/>
  <c r="FY39" i="1" s="1"/>
  <c r="FZ39" i="1" a="1"/>
  <c r="FZ39" i="1" s="1"/>
  <c r="GA39" i="1" a="1"/>
  <c r="GA39" i="1" s="1"/>
  <c r="GB39" i="1" a="1"/>
  <c r="GB39" i="1" s="1"/>
  <c r="GC39" i="1" a="1"/>
  <c r="GC39" i="1" s="1"/>
  <c r="GD39" i="1" a="1"/>
  <c r="GD39" i="1" s="1"/>
  <c r="GE39" i="1" a="1"/>
  <c r="GE39" i="1" s="1"/>
  <c r="GF39" i="1" a="1"/>
  <c r="GF39" i="1" s="1"/>
  <c r="GG39" i="1" a="1"/>
  <c r="GG39" i="1" s="1"/>
  <c r="GH39" i="1" a="1"/>
  <c r="GH39" i="1" s="1"/>
  <c r="GI39" i="1" a="1"/>
  <c r="GI39" i="1" s="1"/>
  <c r="GJ39" i="1" a="1"/>
  <c r="GJ39" i="1" s="1"/>
  <c r="GK39" i="1" a="1"/>
  <c r="GK39" i="1" s="1"/>
  <c r="GL39" i="1" a="1"/>
  <c r="GL39" i="1" s="1"/>
  <c r="GM39" i="1" a="1"/>
  <c r="GM39" i="1" s="1"/>
  <c r="GN39" i="1" a="1"/>
  <c r="GN39" i="1" s="1"/>
  <c r="GO39" i="1" a="1"/>
  <c r="GO39" i="1" s="1"/>
  <c r="GP39" i="1" a="1"/>
  <c r="GP39" i="1" s="1"/>
  <c r="GQ39" i="1" a="1"/>
  <c r="GQ39" i="1" s="1"/>
  <c r="GR39" i="1" a="1"/>
  <c r="GR39" i="1" s="1"/>
  <c r="FR40" i="1" a="1"/>
  <c r="FR40" i="1" s="1"/>
  <c r="FW40" i="1" a="1"/>
  <c r="FW40" i="1" s="1"/>
  <c r="FX40" i="1" a="1"/>
  <c r="FX40" i="1" s="1"/>
  <c r="FY40" i="1" a="1"/>
  <c r="FY40" i="1" s="1"/>
  <c r="FZ40" i="1" a="1"/>
  <c r="FZ40" i="1" s="1"/>
  <c r="GA40" i="1" a="1"/>
  <c r="GA40" i="1" s="1"/>
  <c r="GB40" i="1" a="1"/>
  <c r="GB40" i="1" s="1"/>
  <c r="GC40" i="1" a="1"/>
  <c r="GC40" i="1" s="1"/>
  <c r="GD40" i="1" a="1"/>
  <c r="GD40" i="1" s="1"/>
  <c r="GE40" i="1" a="1"/>
  <c r="GE40" i="1" s="1"/>
  <c r="GF40" i="1" a="1"/>
  <c r="GF40" i="1" s="1"/>
  <c r="GG40" i="1" a="1"/>
  <c r="GG40" i="1" s="1"/>
  <c r="GH40" i="1" a="1"/>
  <c r="GH40" i="1" s="1"/>
  <c r="GI40" i="1" a="1"/>
  <c r="GI40" i="1" s="1"/>
  <c r="GJ40" i="1" a="1"/>
  <c r="GJ40" i="1" s="1"/>
  <c r="GK40" i="1" a="1"/>
  <c r="GK40" i="1" s="1"/>
  <c r="GL40" i="1" a="1"/>
  <c r="GL40" i="1" s="1"/>
  <c r="GM40" i="1" a="1"/>
  <c r="GM40" i="1" s="1"/>
  <c r="GN40" i="1" a="1"/>
  <c r="GN40" i="1" s="1"/>
  <c r="GO40" i="1" a="1"/>
  <c r="GO40" i="1" s="1"/>
  <c r="GP40" i="1" a="1"/>
  <c r="GP40" i="1" s="1"/>
  <c r="GQ40" i="1" a="1"/>
  <c r="GQ40" i="1" s="1"/>
  <c r="GR40" i="1" a="1"/>
  <c r="GR40" i="1" s="1"/>
  <c r="FR41" i="1" a="1"/>
  <c r="FR41" i="1" s="1"/>
  <c r="FW41" i="1" a="1"/>
  <c r="FW41" i="1" s="1"/>
  <c r="FX41" i="1" a="1"/>
  <c r="FX41" i="1" s="1"/>
  <c r="FY41" i="1" a="1"/>
  <c r="FY41" i="1" s="1"/>
  <c r="FZ41" i="1" a="1"/>
  <c r="FZ41" i="1" s="1"/>
  <c r="GA41" i="1" a="1"/>
  <c r="GA41" i="1" s="1"/>
  <c r="GB41" i="1" a="1"/>
  <c r="GB41" i="1" s="1"/>
  <c r="GC41" i="1" a="1"/>
  <c r="GC41" i="1" s="1"/>
  <c r="GD41" i="1" a="1"/>
  <c r="GD41" i="1" s="1"/>
  <c r="GE41" i="1" a="1"/>
  <c r="GE41" i="1" s="1"/>
  <c r="GF41" i="1" a="1"/>
  <c r="GF41" i="1" s="1"/>
  <c r="GG41" i="1" a="1"/>
  <c r="GG41" i="1" s="1"/>
  <c r="GH41" i="1" a="1"/>
  <c r="GH41" i="1" s="1"/>
  <c r="GI41" i="1" a="1"/>
  <c r="GI41" i="1" s="1"/>
  <c r="GJ41" i="1" a="1"/>
  <c r="GJ41" i="1" s="1"/>
  <c r="GK41" i="1" a="1"/>
  <c r="GK41" i="1" s="1"/>
  <c r="GL41" i="1" a="1"/>
  <c r="GL41" i="1" s="1"/>
  <c r="GM41" i="1" a="1"/>
  <c r="GM41" i="1" s="1"/>
  <c r="GN41" i="1" a="1"/>
  <c r="GN41" i="1" s="1"/>
  <c r="GO41" i="1" a="1"/>
  <c r="GO41" i="1" s="1"/>
  <c r="GP41" i="1" a="1"/>
  <c r="GP41" i="1" s="1"/>
  <c r="GQ41" i="1" a="1"/>
  <c r="GQ41" i="1" s="1"/>
  <c r="GR41" i="1" a="1"/>
  <c r="GR41" i="1" s="1"/>
  <c r="FR42" i="1" a="1"/>
  <c r="FR42" i="1" s="1"/>
  <c r="FW42" i="1" a="1"/>
  <c r="FW42" i="1" s="1"/>
  <c r="FX42" i="1" a="1"/>
  <c r="FX42" i="1" s="1"/>
  <c r="FY42" i="1" a="1"/>
  <c r="FY42" i="1" s="1"/>
  <c r="FZ42" i="1" a="1"/>
  <c r="FZ42" i="1" s="1"/>
  <c r="GA42" i="1" a="1"/>
  <c r="GA42" i="1" s="1"/>
  <c r="GB42" i="1" a="1"/>
  <c r="GB42" i="1" s="1"/>
  <c r="GC42" i="1" a="1"/>
  <c r="GC42" i="1" s="1"/>
  <c r="GD42" i="1" a="1"/>
  <c r="GD42" i="1" s="1"/>
  <c r="GE42" i="1" a="1"/>
  <c r="GE42" i="1" s="1"/>
  <c r="GF42" i="1" a="1"/>
  <c r="GF42" i="1" s="1"/>
  <c r="GG42" i="1" a="1"/>
  <c r="GG42" i="1" s="1"/>
  <c r="GH42" i="1" a="1"/>
  <c r="GH42" i="1" s="1"/>
  <c r="GI42" i="1" a="1"/>
  <c r="GI42" i="1" s="1"/>
  <c r="GJ42" i="1" a="1"/>
  <c r="GJ42" i="1" s="1"/>
  <c r="GK42" i="1" a="1"/>
  <c r="GK42" i="1" s="1"/>
  <c r="GL42" i="1" a="1"/>
  <c r="GL42" i="1" s="1"/>
  <c r="GM42" i="1" a="1"/>
  <c r="GM42" i="1" s="1"/>
  <c r="GN42" i="1" a="1"/>
  <c r="GN42" i="1" s="1"/>
  <c r="GO42" i="1" a="1"/>
  <c r="GO42" i="1" s="1"/>
  <c r="GP42" i="1" a="1"/>
  <c r="GP42" i="1" s="1"/>
  <c r="GQ42" i="1" a="1"/>
  <c r="GQ42" i="1" s="1"/>
  <c r="GR42" i="1" a="1"/>
  <c r="GR42" i="1" s="1"/>
  <c r="FR43" i="1" a="1"/>
  <c r="FR43" i="1" s="1"/>
  <c r="FW43" i="1" a="1"/>
  <c r="FW43" i="1" s="1"/>
  <c r="FX43" i="1" a="1"/>
  <c r="FX43" i="1" s="1"/>
  <c r="FY43" i="1" a="1"/>
  <c r="FY43" i="1" s="1"/>
  <c r="FZ43" i="1" a="1"/>
  <c r="FZ43" i="1" s="1"/>
  <c r="GA43" i="1" a="1"/>
  <c r="GA43" i="1" s="1"/>
  <c r="GB43" i="1" a="1"/>
  <c r="GB43" i="1" s="1"/>
  <c r="GC43" i="1" a="1"/>
  <c r="GC43" i="1"/>
  <c r="GD43" i="1" a="1"/>
  <c r="GD43" i="1" s="1"/>
  <c r="GE43" i="1" a="1"/>
  <c r="GE43" i="1" s="1"/>
  <c r="GF43" i="1" a="1"/>
  <c r="GF43" i="1" s="1"/>
  <c r="GG43" i="1" a="1"/>
  <c r="GG43" i="1" s="1"/>
  <c r="GH43" i="1" a="1"/>
  <c r="GH43" i="1" s="1"/>
  <c r="GI43" i="1" a="1"/>
  <c r="GI43" i="1" s="1"/>
  <c r="GJ43" i="1" a="1"/>
  <c r="GJ43" i="1" s="1"/>
  <c r="GK43" i="1" a="1"/>
  <c r="GK43" i="1" s="1"/>
  <c r="GL43" i="1" a="1"/>
  <c r="GL43" i="1" s="1"/>
  <c r="GM43" i="1" a="1"/>
  <c r="GM43" i="1" s="1"/>
  <c r="GN43" i="1" a="1"/>
  <c r="GN43" i="1" s="1"/>
  <c r="GO43" i="1" a="1"/>
  <c r="GO43" i="1" s="1"/>
  <c r="GP43" i="1" a="1"/>
  <c r="GP43" i="1" s="1"/>
  <c r="GQ43" i="1" a="1"/>
  <c r="GQ43" i="1" s="1"/>
  <c r="GR43" i="1" a="1"/>
  <c r="GR43" i="1" s="1"/>
  <c r="FR44" i="1" a="1"/>
  <c r="FR44" i="1" s="1"/>
  <c r="FW44" i="1" a="1"/>
  <c r="FW44" i="1" s="1"/>
  <c r="FX44" i="1" a="1"/>
  <c r="FX44" i="1" s="1"/>
  <c r="FY44" i="1" a="1"/>
  <c r="FY44" i="1" s="1"/>
  <c r="FZ44" i="1" a="1"/>
  <c r="FZ44" i="1" s="1"/>
  <c r="GA44" i="1" a="1"/>
  <c r="GA44" i="1" s="1"/>
  <c r="GB44" i="1" a="1"/>
  <c r="GB44" i="1" s="1"/>
  <c r="GC44" i="1" a="1"/>
  <c r="GC44" i="1" s="1"/>
  <c r="GD44" i="1" a="1"/>
  <c r="GD44" i="1" s="1"/>
  <c r="GE44" i="1" a="1"/>
  <c r="GE44" i="1" s="1"/>
  <c r="GF44" i="1" a="1"/>
  <c r="GF44" i="1" s="1"/>
  <c r="GG44" i="1" a="1"/>
  <c r="GG44" i="1" s="1"/>
  <c r="GH44" i="1" a="1"/>
  <c r="GH44" i="1" s="1"/>
  <c r="GI44" i="1" a="1"/>
  <c r="GI44" i="1" s="1"/>
  <c r="GJ44" i="1" a="1"/>
  <c r="GJ44" i="1" s="1"/>
  <c r="GK44" i="1" a="1"/>
  <c r="GK44" i="1" s="1"/>
  <c r="GL44" i="1" a="1"/>
  <c r="GL44" i="1"/>
  <c r="GM44" i="1" a="1"/>
  <c r="GM44" i="1" s="1"/>
  <c r="GN44" i="1" a="1"/>
  <c r="GN44" i="1" s="1"/>
  <c r="GO44" i="1" a="1"/>
  <c r="GO44" i="1" s="1"/>
  <c r="GP44" i="1" a="1"/>
  <c r="GP44" i="1" s="1"/>
  <c r="GQ44" i="1" a="1"/>
  <c r="GQ44" i="1" s="1"/>
  <c r="GR44" i="1" a="1"/>
  <c r="GR44" i="1" s="1"/>
  <c r="FR45" i="1" a="1"/>
  <c r="FR45" i="1" s="1"/>
  <c r="FW45" i="1" a="1"/>
  <c r="FW45" i="1" s="1"/>
  <c r="FX45" i="1" a="1"/>
  <c r="FX45" i="1" s="1"/>
  <c r="FY45" i="1" a="1"/>
  <c r="FY45" i="1" s="1"/>
  <c r="FZ45" i="1" a="1"/>
  <c r="FZ45" i="1" s="1"/>
  <c r="GA45" i="1" a="1"/>
  <c r="GA45" i="1" s="1"/>
  <c r="GB45" i="1" a="1"/>
  <c r="GB45" i="1" s="1"/>
  <c r="GC45" i="1" a="1"/>
  <c r="GC45" i="1" s="1"/>
  <c r="GD45" i="1" a="1"/>
  <c r="GD45" i="1" s="1"/>
  <c r="GE45" i="1" a="1"/>
  <c r="GE45" i="1" s="1"/>
  <c r="GF45" i="1" a="1"/>
  <c r="GF45" i="1" s="1"/>
  <c r="GG45" i="1" a="1"/>
  <c r="GG45" i="1" s="1"/>
  <c r="GH45" i="1" a="1"/>
  <c r="GH45" i="1" s="1"/>
  <c r="GI45" i="1" a="1"/>
  <c r="GI45" i="1" s="1"/>
  <c r="GJ45" i="1" a="1"/>
  <c r="GJ45" i="1" s="1"/>
  <c r="GK45" i="1" a="1"/>
  <c r="GK45" i="1" s="1"/>
  <c r="GL45" i="1" a="1"/>
  <c r="GL45" i="1" s="1"/>
  <c r="GM45" i="1" a="1"/>
  <c r="GM45" i="1" s="1"/>
  <c r="GN45" i="1" a="1"/>
  <c r="GN45" i="1" s="1"/>
  <c r="GO45" i="1" a="1"/>
  <c r="GO45" i="1" s="1"/>
  <c r="GP45" i="1" a="1"/>
  <c r="GP45" i="1" s="1"/>
  <c r="GQ45" i="1" a="1"/>
  <c r="GQ45" i="1" s="1"/>
  <c r="GR45" i="1" a="1"/>
  <c r="GR45" i="1" s="1"/>
  <c r="FR46" i="1" a="1"/>
  <c r="FR46" i="1" s="1"/>
  <c r="FW46" i="1" a="1"/>
  <c r="FW46" i="1" s="1"/>
  <c r="FX46" i="1" a="1"/>
  <c r="FX46" i="1" s="1"/>
  <c r="FY46" i="1" a="1"/>
  <c r="FY46" i="1" s="1"/>
  <c r="FZ46" i="1" a="1"/>
  <c r="FZ46" i="1" s="1"/>
  <c r="GA46" i="1" a="1"/>
  <c r="GA46" i="1" s="1"/>
  <c r="GB46" i="1" a="1"/>
  <c r="GB46" i="1" s="1"/>
  <c r="GC46" i="1" a="1"/>
  <c r="GC46" i="1" s="1"/>
  <c r="GD46" i="1" a="1"/>
  <c r="GD46" i="1" s="1"/>
  <c r="GE46" i="1" a="1"/>
  <c r="GE46" i="1" s="1"/>
  <c r="GF46" i="1" a="1"/>
  <c r="GF46" i="1" s="1"/>
  <c r="GG46" i="1" a="1"/>
  <c r="GG46" i="1" s="1"/>
  <c r="GH46" i="1" a="1"/>
  <c r="GH46" i="1" s="1"/>
  <c r="GI46" i="1" a="1"/>
  <c r="GI46" i="1" s="1"/>
  <c r="GJ46" i="1" a="1"/>
  <c r="GJ46" i="1" s="1"/>
  <c r="GK46" i="1" a="1"/>
  <c r="GK46" i="1" s="1"/>
  <c r="GL46" i="1" a="1"/>
  <c r="GL46" i="1" s="1"/>
  <c r="GM46" i="1" a="1"/>
  <c r="GM46" i="1" s="1"/>
  <c r="GN46" i="1" a="1"/>
  <c r="GN46" i="1" s="1"/>
  <c r="GO46" i="1" a="1"/>
  <c r="GO46" i="1" s="1"/>
  <c r="GP46" i="1" a="1"/>
  <c r="GP46" i="1" s="1"/>
  <c r="GQ46" i="1" a="1"/>
  <c r="GQ46" i="1" s="1"/>
  <c r="GR46" i="1" a="1"/>
  <c r="GR46" i="1" s="1"/>
  <c r="FR47" i="1" a="1"/>
  <c r="FR47" i="1" s="1"/>
  <c r="FW47" i="1" a="1"/>
  <c r="FW47" i="1" s="1"/>
  <c r="FX47" i="1" a="1"/>
  <c r="FX47" i="1" s="1"/>
  <c r="FY47" i="1" a="1"/>
  <c r="FY47" i="1" s="1"/>
  <c r="FZ47" i="1" a="1"/>
  <c r="FZ47" i="1" s="1"/>
  <c r="GA47" i="1" a="1"/>
  <c r="GA47" i="1" s="1"/>
  <c r="GB47" i="1" a="1"/>
  <c r="GB47" i="1" s="1"/>
  <c r="GC47" i="1" a="1"/>
  <c r="GC47" i="1" s="1"/>
  <c r="GD47" i="1" a="1"/>
  <c r="GD47" i="1" s="1"/>
  <c r="GE47" i="1" a="1"/>
  <c r="GE47" i="1" s="1"/>
  <c r="GF47" i="1" a="1"/>
  <c r="GF47" i="1" s="1"/>
  <c r="GG47" i="1" a="1"/>
  <c r="GG47" i="1" s="1"/>
  <c r="GH47" i="1" a="1"/>
  <c r="GH47" i="1" s="1"/>
  <c r="GI47" i="1" a="1"/>
  <c r="GI47" i="1"/>
  <c r="GJ47" i="1" a="1"/>
  <c r="GJ47" i="1" s="1"/>
  <c r="GK47" i="1" a="1"/>
  <c r="GK47" i="1" s="1"/>
  <c r="GL47" i="1" a="1"/>
  <c r="GL47" i="1" s="1"/>
  <c r="GM47" i="1" a="1"/>
  <c r="GM47" i="1" s="1"/>
  <c r="GN47" i="1" a="1"/>
  <c r="GN47" i="1" s="1"/>
  <c r="GO47" i="1" a="1"/>
  <c r="GO47" i="1" s="1"/>
  <c r="GP47" i="1" a="1"/>
  <c r="GP47" i="1" s="1"/>
  <c r="GQ47" i="1" a="1"/>
  <c r="GQ47" i="1" s="1"/>
  <c r="GR47" i="1" a="1"/>
  <c r="GR47" i="1" s="1"/>
  <c r="FW48" i="1" a="1"/>
  <c r="FW48" i="1" s="1"/>
  <c r="FX48" i="1" a="1"/>
  <c r="FX48" i="1" s="1"/>
  <c r="FY48" i="1" a="1"/>
  <c r="FY48" i="1" s="1"/>
  <c r="FZ48" i="1" a="1"/>
  <c r="FZ48" i="1" s="1"/>
  <c r="GA48" i="1" a="1"/>
  <c r="GA48" i="1" s="1"/>
  <c r="GB48" i="1" a="1"/>
  <c r="GB48" i="1" s="1"/>
  <c r="GC48" i="1" a="1"/>
  <c r="GC48" i="1" s="1"/>
  <c r="GD48" i="1" a="1"/>
  <c r="GD48" i="1" s="1"/>
  <c r="GE48" i="1" a="1"/>
  <c r="GE48" i="1" s="1"/>
  <c r="GF48" i="1" a="1"/>
  <c r="GF48" i="1" s="1"/>
  <c r="GG48" i="1" a="1"/>
  <c r="GG48" i="1" s="1"/>
  <c r="GH48" i="1" a="1"/>
  <c r="GH48" i="1" s="1"/>
  <c r="GI48" i="1" a="1"/>
  <c r="GI48" i="1" s="1"/>
  <c r="GJ48" i="1" a="1"/>
  <c r="GJ48" i="1" s="1"/>
  <c r="GK48" i="1" a="1"/>
  <c r="GK48" i="1" s="1"/>
  <c r="GL48" i="1" a="1"/>
  <c r="GL48" i="1" s="1"/>
  <c r="GM48" i="1" a="1"/>
  <c r="GM48" i="1" s="1"/>
  <c r="GN48" i="1" a="1"/>
  <c r="GN48" i="1" s="1"/>
  <c r="GO48" i="1" a="1"/>
  <c r="GO48" i="1" s="1"/>
  <c r="GP48" i="1" a="1"/>
  <c r="GP48" i="1" s="1"/>
  <c r="GQ48" i="1" a="1"/>
  <c r="GQ48" i="1" s="1"/>
  <c r="GR48" i="1" a="1"/>
  <c r="GR48" i="1" s="1"/>
  <c r="FW49" i="1" a="1"/>
  <c r="FW49" i="1" s="1"/>
  <c r="FX49" i="1" a="1"/>
  <c r="FX49" i="1" s="1"/>
  <c r="FY49" i="1" a="1"/>
  <c r="FY49" i="1" s="1"/>
  <c r="FZ49" i="1" a="1"/>
  <c r="FZ49" i="1" s="1"/>
  <c r="GA49" i="1" a="1"/>
  <c r="GA49" i="1" s="1"/>
  <c r="GB49" i="1" a="1"/>
  <c r="GB49" i="1" s="1"/>
  <c r="GC49" i="1" a="1"/>
  <c r="GC49" i="1" s="1"/>
  <c r="GD49" i="1" a="1"/>
  <c r="GD49" i="1" s="1"/>
  <c r="GE49" i="1" a="1"/>
  <c r="GE49" i="1" s="1"/>
  <c r="GF49" i="1" a="1"/>
  <c r="GF49" i="1" s="1"/>
  <c r="GG49" i="1" a="1"/>
  <c r="GG49" i="1" s="1"/>
  <c r="GH49" i="1" a="1"/>
  <c r="GH49" i="1" s="1"/>
  <c r="GI49" i="1" a="1"/>
  <c r="GI49" i="1" s="1"/>
  <c r="GJ49" i="1" a="1"/>
  <c r="GJ49" i="1" s="1"/>
  <c r="GK49" i="1" a="1"/>
  <c r="GK49" i="1" s="1"/>
  <c r="GL49" i="1" a="1"/>
  <c r="GL49" i="1" s="1"/>
  <c r="GM49" i="1" a="1"/>
  <c r="GM49" i="1" s="1"/>
  <c r="GN49" i="1" a="1"/>
  <c r="GN49" i="1" s="1"/>
  <c r="GO49" i="1" a="1"/>
  <c r="GO49" i="1" s="1"/>
  <c r="GP49" i="1" a="1"/>
  <c r="GP49" i="1" s="1"/>
  <c r="GQ49" i="1" a="1"/>
  <c r="GQ49" i="1" s="1"/>
  <c r="GR49" i="1" a="1"/>
  <c r="GR49" i="1" s="1"/>
  <c r="FR52" i="1" a="1"/>
  <c r="FR52" i="1" s="1"/>
  <c r="FR53" i="1" a="1"/>
  <c r="FR53" i="1" s="1"/>
  <c r="FW72" i="1" a="1"/>
  <c r="FW72" i="1" s="1"/>
  <c r="FX72" i="1" a="1"/>
  <c r="FX72" i="1" s="1"/>
  <c r="FW73" i="1" a="1"/>
  <c r="FW73" i="1" s="1"/>
  <c r="FX73" i="1" a="1"/>
  <c r="FX73" i="1" s="1"/>
  <c r="FW74" i="1" a="1"/>
  <c r="FW74" i="1" s="1"/>
  <c r="FX74" i="1" a="1"/>
  <c r="FX74" i="1" s="1"/>
  <c r="FW75" i="1" a="1"/>
  <c r="FW75" i="1" s="1"/>
  <c r="FX75" i="1" a="1"/>
  <c r="FX75" i="1" s="1"/>
  <c r="FW76" i="1" a="1"/>
  <c r="FW76" i="1" s="1"/>
  <c r="FX76" i="1" a="1"/>
  <c r="FX76" i="1" s="1"/>
  <c r="FW77" i="1" a="1"/>
  <c r="FW77" i="1" s="1"/>
  <c r="FX77" i="1" a="1"/>
  <c r="FX77" i="1" s="1"/>
  <c r="FW78" i="1" a="1"/>
  <c r="FW78" i="1" s="1"/>
  <c r="FX78" i="1" a="1"/>
  <c r="FX78" i="1" s="1"/>
  <c r="FW79" i="1" a="1"/>
  <c r="FW79" i="1" s="1"/>
  <c r="FX79" i="1" a="1"/>
  <c r="FX79" i="1" s="1"/>
  <c r="FW80" i="1" a="1"/>
  <c r="FW80" i="1" s="1"/>
  <c r="FX80" i="1" a="1"/>
  <c r="FX80" i="1" s="1"/>
  <c r="FW81" i="1" a="1"/>
  <c r="FW81" i="1" s="1"/>
  <c r="FX81" i="1" a="1"/>
  <c r="FX81" i="1" s="1"/>
  <c r="FW82" i="1" a="1"/>
  <c r="FW82" i="1" s="1"/>
  <c r="FX82" i="1" a="1"/>
  <c r="FX82" i="1"/>
  <c r="FW83" i="1" a="1"/>
  <c r="FW83" i="1" s="1"/>
  <c r="FX83" i="1" a="1"/>
  <c r="FX83" i="1" s="1"/>
  <c r="FW84" i="1" a="1"/>
  <c r="FW84" i="1" s="1"/>
  <c r="FX84" i="1" a="1"/>
  <c r="FX84" i="1" s="1"/>
  <c r="GQ8" i="1" l="1"/>
  <c r="GQ13" i="1"/>
  <c r="GQ4" i="1"/>
  <c r="GQ9" i="1"/>
  <c r="GQ3" i="1"/>
  <c r="GQ14" i="1"/>
  <c r="GQ11" i="1"/>
  <c r="GQ6" i="1"/>
  <c r="GQ12" i="1"/>
  <c r="GQ5" i="1"/>
  <c r="GQ10" i="1"/>
  <c r="GQ7" i="1"/>
  <c r="GQ15" i="1"/>
  <c r="BN13" i="1" l="1" a="1"/>
  <c r="BN13" i="1" s="1"/>
  <c r="BM13" i="1" a="1"/>
  <c r="BM13" i="1" s="1"/>
  <c r="BL13" i="1" a="1"/>
  <c r="BL13" i="1" s="1"/>
  <c r="BK13" i="1" a="1"/>
  <c r="BK13" i="1" s="1"/>
  <c r="BJ13" i="1" a="1"/>
  <c r="BJ13" i="1" s="1"/>
  <c r="BI13" i="1" a="1"/>
  <c r="BI13" i="1" s="1"/>
  <c r="BN12" i="1" a="1"/>
  <c r="BN12" i="1" s="1"/>
  <c r="BM12" i="1" a="1"/>
  <c r="BM12" i="1" s="1"/>
  <c r="BL12" i="1" a="1"/>
  <c r="BL12" i="1" s="1"/>
  <c r="BK12" i="1" a="1"/>
  <c r="BK12" i="1" s="1"/>
  <c r="BJ12" i="1" a="1"/>
  <c r="BJ12" i="1" s="1"/>
  <c r="BI12" i="1" a="1"/>
  <c r="BI12" i="1" s="1"/>
  <c r="BN11" i="1" a="1"/>
  <c r="BN11" i="1" s="1"/>
  <c r="BM11" i="1" a="1"/>
  <c r="BM11" i="1" s="1"/>
  <c r="BL11" i="1" a="1"/>
  <c r="BL11" i="1" s="1"/>
  <c r="BK11" i="1" a="1"/>
  <c r="BK11" i="1" s="1"/>
  <c r="BJ11" i="1" a="1"/>
  <c r="BJ11" i="1" s="1"/>
  <c r="BI11" i="1" a="1"/>
  <c r="BI11" i="1" s="1"/>
  <c r="BN10" i="1" a="1"/>
  <c r="BN10" i="1" s="1"/>
  <c r="BM10" i="1" a="1"/>
  <c r="BM10" i="1" s="1"/>
  <c r="BL10" i="1" a="1"/>
  <c r="BL10" i="1" s="1"/>
  <c r="BK10" i="1" a="1"/>
  <c r="BK10" i="1" s="1"/>
  <c r="BJ10" i="1" a="1"/>
  <c r="BJ10" i="1" s="1"/>
  <c r="BI10" i="1" a="1"/>
  <c r="BI10" i="1" s="1"/>
  <c r="BN9" i="1" a="1"/>
  <c r="BN9" i="1" s="1"/>
  <c r="BM9" i="1" a="1"/>
  <c r="BM9" i="1" s="1"/>
  <c r="BL9" i="1" a="1"/>
  <c r="BL9" i="1" s="1"/>
  <c r="BK9" i="1" a="1"/>
  <c r="BK9" i="1" s="1"/>
  <c r="BJ9" i="1" a="1"/>
  <c r="BJ9" i="1" s="1"/>
  <c r="BI9" i="1" a="1"/>
  <c r="BI9" i="1" s="1"/>
  <c r="BN8" i="1" a="1"/>
  <c r="BN8" i="1" s="1"/>
  <c r="BM8" i="1" a="1"/>
  <c r="BM8" i="1" s="1"/>
  <c r="BL8" i="1" a="1"/>
  <c r="BL8" i="1" s="1"/>
  <c r="BK8" i="1" a="1"/>
  <c r="BK8" i="1" s="1"/>
  <c r="BJ8" i="1" a="1"/>
  <c r="BJ8" i="1" s="1"/>
  <c r="BI8" i="1" a="1"/>
  <c r="BI8" i="1" s="1"/>
  <c r="BN7" i="1" a="1"/>
  <c r="BN7" i="1" s="1"/>
  <c r="BM7" i="1" a="1"/>
  <c r="BM7" i="1" s="1"/>
  <c r="BL7" i="1" a="1"/>
  <c r="BL7" i="1" s="1"/>
  <c r="AZ7" i="1" a="1"/>
  <c r="AZ7" i="1" s="1"/>
  <c r="BA7" i="1" a="1"/>
  <c r="BA7" i="1" s="1"/>
  <c r="BK7" i="1" a="1"/>
  <c r="BK7" i="1" s="1"/>
  <c r="BJ7" i="1" a="1"/>
  <c r="BJ7" i="1" s="1"/>
  <c r="BI7" i="1" a="1"/>
  <c r="BI7" i="1" s="1"/>
  <c r="BN6" i="1" a="1"/>
  <c r="BN6" i="1" s="1"/>
  <c r="BM6" i="1" a="1"/>
  <c r="BM6" i="1" s="1"/>
  <c r="BL6" i="1" a="1"/>
  <c r="BL6" i="1" s="1"/>
  <c r="BK6" i="1" a="1"/>
  <c r="BK6" i="1" s="1"/>
  <c r="BI6" i="1" a="1"/>
  <c r="BI6" i="1" s="1"/>
  <c r="BN5" i="1" a="1"/>
  <c r="BN5" i="1" s="1"/>
  <c r="BM5" i="1" a="1"/>
  <c r="BM5" i="1" s="1"/>
  <c r="BL5" i="1" a="1"/>
  <c r="BL5" i="1" s="1"/>
  <c r="BK5" i="1" a="1"/>
  <c r="BK5" i="1" s="1"/>
  <c r="BJ5" i="1" a="1"/>
  <c r="BJ5" i="1" s="1"/>
  <c r="BI5" i="1" a="1"/>
  <c r="BI5" i="1" s="1"/>
  <c r="BN4" i="1" a="1"/>
  <c r="BN4" i="1" s="1"/>
  <c r="BM4" i="1" a="1"/>
  <c r="BM4" i="1" s="1"/>
  <c r="BL4" i="1" a="1"/>
  <c r="BL4" i="1" s="1"/>
  <c r="BK4" i="1" a="1"/>
  <c r="BK4" i="1" s="1"/>
  <c r="BJ4" i="1" a="1"/>
  <c r="BJ4" i="1" s="1"/>
  <c r="BI4" i="1" a="1"/>
  <c r="BI4" i="1" s="1"/>
  <c r="BN3" i="1" a="1"/>
  <c r="BN3" i="1" s="1"/>
  <c r="BM3" i="1" a="1"/>
  <c r="BM3" i="1" s="1"/>
  <c r="BL3" i="1" a="1"/>
  <c r="BL3" i="1" s="1"/>
  <c r="BK3" i="1" a="1"/>
  <c r="BK3" i="1" s="1"/>
  <c r="BJ3" i="1" a="1"/>
  <c r="BJ3" i="1" s="1"/>
  <c r="BI3" i="1" a="1"/>
  <c r="BI3" i="1" s="1"/>
  <c r="BN2" i="1" a="1"/>
  <c r="BN2" i="1" s="1"/>
  <c r="BM2" i="1" a="1"/>
  <c r="BM2" i="1" s="1"/>
  <c r="BL2" i="1" a="1"/>
  <c r="BL2" i="1" s="1"/>
  <c r="BK2" i="1" a="1"/>
  <c r="BK2" i="1" s="1"/>
  <c r="BI2" i="1" a="1"/>
  <c r="BI2" i="1" s="1"/>
  <c r="BE11" i="1" a="1"/>
  <c r="BE11" i="1" s="1"/>
  <c r="BD11" i="1" a="1"/>
  <c r="BD11" i="1" s="1"/>
  <c r="BC11" i="1" a="1"/>
  <c r="BC11" i="1" s="1"/>
  <c r="BB11" i="1" a="1"/>
  <c r="BB11" i="1" s="1"/>
  <c r="BA11" i="1" a="1"/>
  <c r="BA11" i="1" s="1"/>
  <c r="AZ11" i="1" a="1"/>
  <c r="AZ11" i="1" s="1"/>
  <c r="BE10" i="1" a="1"/>
  <c r="BE10" i="1" s="1"/>
  <c r="BD10" i="1" a="1"/>
  <c r="BD10" i="1" s="1"/>
  <c r="BC10" i="1" a="1"/>
  <c r="BC10" i="1" s="1"/>
  <c r="BB10" i="1" a="1"/>
  <c r="BB10" i="1" s="1"/>
  <c r="BA10" i="1" a="1"/>
  <c r="BA10" i="1" s="1"/>
  <c r="AZ10" i="1" a="1"/>
  <c r="AZ10" i="1" s="1"/>
  <c r="BE9" i="1" a="1"/>
  <c r="BE9" i="1" s="1"/>
  <c r="BD9" i="1" a="1"/>
  <c r="BD9" i="1" s="1"/>
  <c r="BC9" i="1" a="1"/>
  <c r="BC9" i="1" s="1"/>
  <c r="BB9" i="1" a="1"/>
  <c r="BB9" i="1" s="1"/>
  <c r="BA9" i="1" a="1"/>
  <c r="BA9" i="1" s="1"/>
  <c r="AZ9" i="1" a="1"/>
  <c r="AZ9" i="1" s="1"/>
  <c r="BE8" i="1" a="1"/>
  <c r="BE8" i="1" s="1"/>
  <c r="BD8" i="1" a="1"/>
  <c r="BD8" i="1" s="1"/>
  <c r="BC8" i="1" a="1"/>
  <c r="BC8" i="1" s="1"/>
  <c r="BB8" i="1" a="1"/>
  <c r="BB8" i="1" s="1"/>
  <c r="BA8" i="1" a="1"/>
  <c r="BA8" i="1" s="1"/>
  <c r="AZ8" i="1" a="1"/>
  <c r="AZ8" i="1" s="1"/>
  <c r="BE7" i="1" a="1"/>
  <c r="BE7" i="1" s="1"/>
  <c r="BD7" i="1" a="1"/>
  <c r="BD7" i="1" s="1"/>
  <c r="BC7" i="1" a="1"/>
  <c r="BC7" i="1" s="1"/>
  <c r="BB7" i="1" a="1"/>
  <c r="BB7" i="1" s="1"/>
  <c r="BE6" i="1" a="1"/>
  <c r="BE6" i="1" s="1"/>
  <c r="BD6" i="1" a="1"/>
  <c r="BD6" i="1" s="1"/>
  <c r="BC6" i="1" a="1"/>
  <c r="BC6" i="1" s="1"/>
  <c r="BB6" i="1" a="1"/>
  <c r="BB6" i="1" s="1"/>
  <c r="BA6" i="1" a="1"/>
  <c r="BA6" i="1" s="1"/>
  <c r="AZ6" i="1" a="1"/>
  <c r="AZ6" i="1" s="1"/>
  <c r="BE5" i="1" a="1"/>
  <c r="BE5" i="1" s="1"/>
  <c r="BD5" i="1" a="1"/>
  <c r="BD5" i="1" s="1"/>
  <c r="BC5" i="1" a="1"/>
  <c r="BC5" i="1" s="1"/>
  <c r="BB5" i="1" a="1"/>
  <c r="BB5" i="1" s="1"/>
  <c r="BA5" i="1" a="1"/>
  <c r="BA5" i="1" s="1"/>
  <c r="AZ5" i="1" a="1"/>
  <c r="AZ5" i="1" s="1"/>
  <c r="BE4" i="1" a="1"/>
  <c r="BE4" i="1" s="1"/>
  <c r="BD4" i="1" a="1"/>
  <c r="BD4" i="1" s="1"/>
  <c r="BC4" i="1" a="1"/>
  <c r="BC4" i="1" s="1"/>
  <c r="BB4" i="1" a="1"/>
  <c r="BB4" i="1" s="1"/>
  <c r="BA4" i="1" a="1"/>
  <c r="BA4" i="1" s="1"/>
  <c r="AZ4" i="1" a="1"/>
  <c r="AZ4" i="1" s="1"/>
  <c r="BE3" i="1" a="1"/>
  <c r="BE3" i="1" s="1"/>
  <c r="BD3" i="1" a="1"/>
  <c r="BD3" i="1" s="1"/>
  <c r="BC3" i="1" a="1"/>
  <c r="BC3" i="1" s="1"/>
  <c r="BB3" i="1" a="1"/>
  <c r="BB3" i="1" s="1"/>
  <c r="BA3" i="1" a="1"/>
  <c r="BA3" i="1" s="1"/>
  <c r="AZ3" i="1" a="1"/>
  <c r="AZ3" i="1" s="1"/>
  <c r="BD2" i="1" a="1"/>
  <c r="BD2" i="1" s="1"/>
  <c r="BC2" i="1" a="1"/>
  <c r="BC2" i="1" s="1"/>
  <c r="BB2" i="1" a="1"/>
  <c r="BB2" i="1" s="1"/>
  <c r="BA2" i="1" a="1"/>
  <c r="BA2" i="1" s="1"/>
  <c r="CQ15" i="1" l="1" a="1"/>
  <c r="CQ15" i="1" s="1"/>
  <c r="CQ14" i="1" a="1"/>
  <c r="CQ14" i="1" s="1"/>
  <c r="CQ13" i="1" a="1"/>
  <c r="CQ13" i="1" s="1"/>
  <c r="CQ12" i="1" a="1"/>
  <c r="CQ12" i="1" s="1"/>
  <c r="CQ11" i="1" a="1"/>
  <c r="CQ11" i="1" s="1"/>
  <c r="CQ10" i="1" a="1"/>
  <c r="CQ10" i="1" s="1"/>
  <c r="CQ9" i="1" a="1"/>
  <c r="CQ9" i="1" s="1"/>
  <c r="CQ8" i="1" a="1"/>
  <c r="CQ8" i="1" s="1"/>
  <c r="CQ7" i="1" a="1"/>
  <c r="CQ7" i="1" s="1"/>
  <c r="CQ6" i="1" a="1"/>
  <c r="CQ6" i="1" s="1"/>
  <c r="CQ5" i="1" a="1"/>
  <c r="CQ5" i="1" s="1"/>
  <c r="CP15" i="1" a="1"/>
  <c r="CP15" i="1" s="1"/>
  <c r="CP14" i="1" a="1"/>
  <c r="CP14" i="1" s="1"/>
  <c r="CP13" i="1" a="1"/>
  <c r="CP13" i="1" s="1"/>
  <c r="CP12" i="1" a="1"/>
  <c r="CP12" i="1" s="1"/>
  <c r="CP11" i="1" a="1"/>
  <c r="CP11" i="1" s="1"/>
  <c r="CP10" i="1" a="1"/>
  <c r="CP10" i="1" s="1"/>
  <c r="CP9" i="1" a="1"/>
  <c r="CP9" i="1" s="1"/>
  <c r="CP8" i="1" a="1"/>
  <c r="CP8" i="1" s="1"/>
  <c r="CP7" i="1" a="1"/>
  <c r="CP7" i="1" s="1"/>
  <c r="CP6" i="1" a="1"/>
  <c r="CP6" i="1" s="1"/>
  <c r="CP5" i="1" a="1"/>
  <c r="CP5" i="1" s="1"/>
  <c r="CO15" i="1" a="1"/>
  <c r="CO15" i="1" s="1"/>
  <c r="CO14" i="1" a="1"/>
  <c r="CO14" i="1" s="1"/>
  <c r="CO13" i="1" a="1"/>
  <c r="CO13" i="1" s="1"/>
  <c r="CO12" i="1" a="1"/>
  <c r="CO12" i="1" s="1"/>
  <c r="CO11" i="1" a="1"/>
  <c r="CO11" i="1" s="1"/>
  <c r="CO10" i="1" a="1"/>
  <c r="CO10" i="1" s="1"/>
  <c r="CO9" i="1" a="1"/>
  <c r="CO9" i="1" s="1"/>
  <c r="CO8" i="1" a="1"/>
  <c r="CO8" i="1" s="1"/>
  <c r="CO6" i="1" a="1"/>
  <c r="CO6" i="1" s="1"/>
  <c r="CO7" i="1" a="1"/>
  <c r="CO7" i="1" s="1"/>
  <c r="CO5" i="1" a="1"/>
  <c r="CO5" i="1" s="1"/>
  <c r="CO4" i="1" a="1"/>
  <c r="CO4" i="1" s="1"/>
  <c r="CQ4" i="1" a="1"/>
  <c r="CQ4" i="1" s="1"/>
  <c r="CQ3" i="1" a="1"/>
  <c r="CQ3" i="1" s="1"/>
  <c r="CQ16" i="1" s="1"/>
  <c r="CP4" i="1" a="1"/>
  <c r="CP4" i="1" s="1"/>
  <c r="CP3" i="1" a="1"/>
  <c r="CP3" i="1" s="1"/>
  <c r="CO3" i="1" a="1"/>
  <c r="CO3" i="1" s="1"/>
  <c r="CO16" i="1" s="1"/>
  <c r="HA3" i="1" a="1"/>
  <c r="HA3" i="1" s="1"/>
  <c r="HD3" i="1" a="1"/>
  <c r="HD3" i="1" s="1"/>
  <c r="HA21" i="1" a="1"/>
  <c r="HA21" i="1" s="1"/>
  <c r="HB21" i="1" a="1"/>
  <c r="HB21" i="1" s="1"/>
  <c r="HC21" i="1" a="1"/>
  <c r="HC21" i="1" s="1"/>
  <c r="HD21" i="1" a="1"/>
  <c r="HD21" i="1" s="1"/>
  <c r="HE21" i="1" a="1"/>
  <c r="HE21" i="1" s="1"/>
  <c r="HF21" i="1" a="1"/>
  <c r="HF21" i="1" s="1"/>
  <c r="HG21" i="1" a="1"/>
  <c r="HG21" i="1" s="1"/>
  <c r="HH21" i="1" a="1"/>
  <c r="HH21" i="1" s="1"/>
  <c r="HI21" i="1" a="1"/>
  <c r="HI21" i="1" s="1"/>
  <c r="HJ21" i="1" a="1"/>
  <c r="HJ21" i="1" s="1"/>
  <c r="HK21" i="1" a="1"/>
  <c r="HK21" i="1" s="1"/>
  <c r="HL21" i="1" a="1"/>
  <c r="HL21" i="1" s="1"/>
  <c r="HM21" i="1" a="1"/>
  <c r="HM21" i="1" s="1"/>
  <c r="HA22" i="1" a="1"/>
  <c r="HA22" i="1" s="1"/>
  <c r="HB22" i="1" a="1"/>
  <c r="HB22" i="1" s="1"/>
  <c r="HC22" i="1" a="1"/>
  <c r="HC22" i="1" s="1"/>
  <c r="HD22" i="1" a="1"/>
  <c r="HD22" i="1" s="1"/>
  <c r="HE22" i="1" a="1"/>
  <c r="HE22" i="1" s="1"/>
  <c r="HF22" i="1" a="1"/>
  <c r="HF22" i="1" s="1"/>
  <c r="HG22" i="1" a="1"/>
  <c r="HG22" i="1" s="1"/>
  <c r="HH22" i="1" a="1"/>
  <c r="HH22" i="1" s="1"/>
  <c r="HI22" i="1" a="1"/>
  <c r="HI22" i="1" s="1"/>
  <c r="HJ22" i="1" a="1"/>
  <c r="HJ22" i="1" s="1"/>
  <c r="HK22" i="1" a="1"/>
  <c r="HK22" i="1" s="1"/>
  <c r="HL22" i="1" a="1"/>
  <c r="HL22" i="1" s="1"/>
  <c r="HM22" i="1" a="1"/>
  <c r="HM22" i="1" s="1"/>
  <c r="HA23" i="1" a="1"/>
  <c r="HA23" i="1" s="1"/>
  <c r="HB23" i="1" a="1"/>
  <c r="HB23" i="1" s="1"/>
  <c r="HC23" i="1" a="1"/>
  <c r="HC23" i="1" s="1"/>
  <c r="HD23" i="1" a="1"/>
  <c r="HD23" i="1" s="1"/>
  <c r="HE23" i="1" a="1"/>
  <c r="HE23" i="1" s="1"/>
  <c r="HF23" i="1" a="1"/>
  <c r="HF23" i="1" s="1"/>
  <c r="HG23" i="1" a="1"/>
  <c r="HG23" i="1" s="1"/>
  <c r="HH23" i="1" a="1"/>
  <c r="HH23" i="1" s="1"/>
  <c r="HI23" i="1" a="1"/>
  <c r="HI23" i="1" s="1"/>
  <c r="HJ23" i="1" a="1"/>
  <c r="HJ23" i="1" s="1"/>
  <c r="HK23" i="1" a="1"/>
  <c r="HK23" i="1" s="1"/>
  <c r="HL23" i="1" a="1"/>
  <c r="HL23" i="1" s="1"/>
  <c r="HM23" i="1" a="1"/>
  <c r="HM23" i="1" s="1"/>
  <c r="HA24" i="1" a="1"/>
  <c r="HA24" i="1" s="1"/>
  <c r="HB24" i="1" a="1"/>
  <c r="HB24" i="1" s="1"/>
  <c r="HC24" i="1" a="1"/>
  <c r="HC24" i="1" s="1"/>
  <c r="HD24" i="1" a="1"/>
  <c r="HD24" i="1" s="1"/>
  <c r="HE24" i="1" a="1"/>
  <c r="HE24" i="1" s="1"/>
  <c r="HF24" i="1" a="1"/>
  <c r="HF24" i="1" s="1"/>
  <c r="HG24" i="1" a="1"/>
  <c r="HG24" i="1" s="1"/>
  <c r="HH24" i="1" a="1"/>
  <c r="HH24" i="1" s="1"/>
  <c r="HI24" i="1" a="1"/>
  <c r="HI24" i="1" s="1"/>
  <c r="HJ24" i="1" a="1"/>
  <c r="HJ24" i="1" s="1"/>
  <c r="HK24" i="1" a="1"/>
  <c r="HK24" i="1" s="1"/>
  <c r="HL24" i="1" a="1"/>
  <c r="HL24" i="1" s="1"/>
  <c r="HM24" i="1" a="1"/>
  <c r="HM24" i="1" s="1"/>
  <c r="HA25" i="1" a="1"/>
  <c r="HA25" i="1" s="1"/>
  <c r="HB25" i="1" a="1"/>
  <c r="HB25" i="1" s="1"/>
  <c r="HC25" i="1" a="1"/>
  <c r="HC25" i="1" s="1"/>
  <c r="HD25" i="1" a="1"/>
  <c r="HD25" i="1" s="1"/>
  <c r="HE25" i="1" a="1"/>
  <c r="HE25" i="1" s="1"/>
  <c r="HF25" i="1" a="1"/>
  <c r="HF25" i="1" s="1"/>
  <c r="HG25" i="1" a="1"/>
  <c r="HG25" i="1" s="1"/>
  <c r="HH25" i="1" a="1"/>
  <c r="HH25" i="1" s="1"/>
  <c r="HI25" i="1" a="1"/>
  <c r="HI25" i="1" s="1"/>
  <c r="HJ25" i="1" a="1"/>
  <c r="HJ25" i="1" s="1"/>
  <c r="HK25" i="1" a="1"/>
  <c r="HK25" i="1" s="1"/>
  <c r="HL25" i="1" a="1"/>
  <c r="HL25" i="1" s="1"/>
  <c r="HM25" i="1" a="1"/>
  <c r="HM25" i="1" s="1"/>
  <c r="HA26" i="1" a="1"/>
  <c r="HA26" i="1" s="1"/>
  <c r="HB26" i="1" a="1"/>
  <c r="HB26" i="1" s="1"/>
  <c r="HC26" i="1" a="1"/>
  <c r="HC26" i="1" s="1"/>
  <c r="HD26" i="1" a="1"/>
  <c r="HD26" i="1" s="1"/>
  <c r="HE26" i="1" a="1"/>
  <c r="HE26" i="1" s="1"/>
  <c r="HF26" i="1" a="1"/>
  <c r="HF26" i="1" s="1"/>
  <c r="HG26" i="1" a="1"/>
  <c r="HG26" i="1" s="1"/>
  <c r="HH26" i="1" a="1"/>
  <c r="HH26" i="1" s="1"/>
  <c r="HI26" i="1" a="1"/>
  <c r="HI26" i="1" s="1"/>
  <c r="HJ26" i="1" a="1"/>
  <c r="HJ26" i="1" s="1"/>
  <c r="HK26" i="1" a="1"/>
  <c r="HK26" i="1" s="1"/>
  <c r="HL26" i="1" a="1"/>
  <c r="HL26" i="1" s="1"/>
  <c r="HM26" i="1" a="1"/>
  <c r="HM26" i="1" s="1"/>
  <c r="HA27" i="1" a="1"/>
  <c r="HA27" i="1" s="1"/>
  <c r="HB27" i="1" a="1"/>
  <c r="HB27" i="1" s="1"/>
  <c r="HC27" i="1" a="1"/>
  <c r="HC27" i="1" s="1"/>
  <c r="HD27" i="1" a="1"/>
  <c r="HD27" i="1" s="1"/>
  <c r="HE27" i="1" a="1"/>
  <c r="HE27" i="1" s="1"/>
  <c r="HF27" i="1" a="1"/>
  <c r="HF27" i="1" s="1"/>
  <c r="HG27" i="1" a="1"/>
  <c r="HG27" i="1" s="1"/>
  <c r="HH27" i="1" a="1"/>
  <c r="HH27" i="1" s="1"/>
  <c r="HI27" i="1" a="1"/>
  <c r="HI27" i="1" s="1"/>
  <c r="HJ27" i="1" a="1"/>
  <c r="HJ27" i="1" s="1"/>
  <c r="HK27" i="1" a="1"/>
  <c r="HK27" i="1" s="1"/>
  <c r="HL27" i="1" a="1"/>
  <c r="HL27" i="1" s="1"/>
  <c r="HM27" i="1" a="1"/>
  <c r="HM27" i="1" s="1"/>
  <c r="HA28" i="1" a="1"/>
  <c r="HA28" i="1" s="1"/>
  <c r="HB28" i="1" a="1"/>
  <c r="HB28" i="1" s="1"/>
  <c r="HC28" i="1" a="1"/>
  <c r="HC28" i="1" s="1"/>
  <c r="HD28" i="1" a="1"/>
  <c r="HD28" i="1" s="1"/>
  <c r="HE28" i="1" a="1"/>
  <c r="HE28" i="1" s="1"/>
  <c r="HF28" i="1" a="1"/>
  <c r="HF28" i="1" s="1"/>
  <c r="HG28" i="1" a="1"/>
  <c r="HG28" i="1" s="1"/>
  <c r="HH28" i="1" a="1"/>
  <c r="HH28" i="1" s="1"/>
  <c r="HI28" i="1" a="1"/>
  <c r="HI28" i="1" s="1"/>
  <c r="HJ28" i="1" a="1"/>
  <c r="HJ28" i="1" s="1"/>
  <c r="HK28" i="1" a="1"/>
  <c r="HK28" i="1" s="1"/>
  <c r="HL28" i="1" a="1"/>
  <c r="HL28" i="1" s="1"/>
  <c r="HM28" i="1" a="1"/>
  <c r="HM28" i="1" s="1"/>
  <c r="HA29" i="1" a="1"/>
  <c r="HA29" i="1" s="1"/>
  <c r="HB29" i="1" a="1"/>
  <c r="HB29" i="1" s="1"/>
  <c r="HC29" i="1" a="1"/>
  <c r="HC29" i="1" s="1"/>
  <c r="HD29" i="1" a="1"/>
  <c r="HD29" i="1" s="1"/>
  <c r="HE29" i="1" a="1"/>
  <c r="HE29" i="1" s="1"/>
  <c r="HF29" i="1" a="1"/>
  <c r="HF29" i="1" s="1"/>
  <c r="HG29" i="1" a="1"/>
  <c r="HG29" i="1" s="1"/>
  <c r="HH29" i="1" a="1"/>
  <c r="HH29" i="1" s="1"/>
  <c r="HI29" i="1" a="1"/>
  <c r="HI29" i="1" s="1"/>
  <c r="HJ29" i="1" a="1"/>
  <c r="HJ29" i="1" s="1"/>
  <c r="HK29" i="1" a="1"/>
  <c r="HK29" i="1" s="1"/>
  <c r="HL29" i="1" a="1"/>
  <c r="HL29" i="1" s="1"/>
  <c r="HM29" i="1" a="1"/>
  <c r="HM29" i="1" s="1"/>
  <c r="HA30" i="1" a="1"/>
  <c r="HA30" i="1" s="1"/>
  <c r="HB30" i="1" a="1"/>
  <c r="HB30" i="1" s="1"/>
  <c r="HC30" i="1" a="1"/>
  <c r="HC30" i="1" s="1"/>
  <c r="HD30" i="1" a="1"/>
  <c r="HD30" i="1" s="1"/>
  <c r="HE30" i="1" a="1"/>
  <c r="HE30" i="1" s="1"/>
  <c r="HF30" i="1" a="1"/>
  <c r="HF30" i="1" s="1"/>
  <c r="HG30" i="1" a="1"/>
  <c r="HG30" i="1" s="1"/>
  <c r="HH30" i="1" a="1"/>
  <c r="HH30" i="1" s="1"/>
  <c r="HI30" i="1" a="1"/>
  <c r="HI30" i="1" s="1"/>
  <c r="HJ30" i="1" a="1"/>
  <c r="HJ30" i="1" s="1"/>
  <c r="HK30" i="1" a="1"/>
  <c r="HK30" i="1" s="1"/>
  <c r="HL30" i="1" a="1"/>
  <c r="HL30" i="1" s="1"/>
  <c r="HM30" i="1" a="1"/>
  <c r="HM30" i="1" s="1"/>
  <c r="HA31" i="1" a="1"/>
  <c r="HA31" i="1" s="1"/>
  <c r="HB31" i="1" a="1"/>
  <c r="HB31" i="1" s="1"/>
  <c r="HC31" i="1" a="1"/>
  <c r="HC31" i="1" s="1"/>
  <c r="HD31" i="1" a="1"/>
  <c r="HD31" i="1" s="1"/>
  <c r="HE31" i="1" a="1"/>
  <c r="HE31" i="1" s="1"/>
  <c r="HF31" i="1" a="1"/>
  <c r="HF31" i="1" s="1"/>
  <c r="HG31" i="1" a="1"/>
  <c r="HG31" i="1" s="1"/>
  <c r="HH31" i="1" a="1"/>
  <c r="HH31" i="1" s="1"/>
  <c r="HI31" i="1" a="1"/>
  <c r="HI31" i="1" s="1"/>
  <c r="HJ31" i="1" a="1"/>
  <c r="HJ31" i="1" s="1"/>
  <c r="HK31" i="1" a="1"/>
  <c r="HK31" i="1" s="1"/>
  <c r="HL31" i="1" a="1"/>
  <c r="HL31" i="1" s="1"/>
  <c r="HM31" i="1" a="1"/>
  <c r="HM31" i="1" s="1"/>
  <c r="HA32" i="1" a="1"/>
  <c r="HA32" i="1" s="1"/>
  <c r="HB32" i="1" a="1"/>
  <c r="HB32" i="1" s="1"/>
  <c r="HC32" i="1" a="1"/>
  <c r="HC32" i="1" s="1"/>
  <c r="HD32" i="1" a="1"/>
  <c r="HD32" i="1" s="1"/>
  <c r="HE32" i="1" a="1"/>
  <c r="HE32" i="1" s="1"/>
  <c r="HF32" i="1" a="1"/>
  <c r="HF32" i="1" s="1"/>
  <c r="HG32" i="1" a="1"/>
  <c r="HG32" i="1" s="1"/>
  <c r="HH32" i="1" a="1"/>
  <c r="HH32" i="1" s="1"/>
  <c r="HI32" i="1" a="1"/>
  <c r="HI32" i="1" s="1"/>
  <c r="HJ32" i="1" a="1"/>
  <c r="HJ32" i="1" s="1"/>
  <c r="HK32" i="1" a="1"/>
  <c r="HK32" i="1" s="1"/>
  <c r="HL32" i="1" a="1"/>
  <c r="HL32" i="1" s="1"/>
  <c r="HM32" i="1" a="1"/>
  <c r="HM32" i="1" s="1"/>
  <c r="HM20" i="1" a="1"/>
  <c r="HM20" i="1" s="1"/>
  <c r="HL20" i="1" a="1"/>
  <c r="HL20" i="1" s="1"/>
  <c r="HK20" i="1" a="1"/>
  <c r="HK20" i="1" s="1"/>
  <c r="HJ20" i="1" a="1"/>
  <c r="HJ20" i="1" s="1"/>
  <c r="HI20" i="1" a="1"/>
  <c r="HI20" i="1" s="1"/>
  <c r="HH20" i="1" a="1"/>
  <c r="HH20" i="1" s="1"/>
  <c r="HG20" i="1" a="1"/>
  <c r="HG20" i="1" s="1"/>
  <c r="HF20" i="1" a="1"/>
  <c r="HF20" i="1" s="1"/>
  <c r="HE20" i="1" a="1"/>
  <c r="HE20" i="1" s="1"/>
  <c r="HD20" i="1" a="1"/>
  <c r="HD20" i="1" s="1"/>
  <c r="HC20" i="1" a="1"/>
  <c r="HC20" i="1" s="1"/>
  <c r="HB20" i="1" a="1"/>
  <c r="HB20" i="1" s="1"/>
  <c r="HA20" i="1" a="1"/>
  <c r="HA20" i="1" s="1"/>
  <c r="HA4" i="1" a="1"/>
  <c r="HA4" i="1" s="1"/>
  <c r="HB4" i="1" a="1"/>
  <c r="HB4" i="1" s="1"/>
  <c r="HC4" i="1" a="1"/>
  <c r="HC4" i="1" s="1"/>
  <c r="HD4" i="1" a="1"/>
  <c r="HD4" i="1" s="1"/>
  <c r="HE4" i="1" a="1"/>
  <c r="HE4" i="1" s="1"/>
  <c r="HF4" i="1" a="1"/>
  <c r="HF4" i="1" s="1"/>
  <c r="HG4" i="1" a="1"/>
  <c r="HG4" i="1" s="1"/>
  <c r="HH4" i="1" a="1"/>
  <c r="HH4" i="1" s="1"/>
  <c r="HI4" i="1" a="1"/>
  <c r="HI4" i="1" s="1"/>
  <c r="HJ4" i="1" a="1"/>
  <c r="HJ4" i="1" s="1"/>
  <c r="HK4" i="1" a="1"/>
  <c r="HK4" i="1" s="1"/>
  <c r="HL4" i="1" a="1"/>
  <c r="HL4" i="1" s="1"/>
  <c r="HM4" i="1" a="1"/>
  <c r="HM4" i="1" s="1"/>
  <c r="HA5" i="1" a="1"/>
  <c r="HA5" i="1" s="1"/>
  <c r="HB5" i="1" a="1"/>
  <c r="HB5" i="1" s="1"/>
  <c r="HC5" i="1" a="1"/>
  <c r="HC5" i="1" s="1"/>
  <c r="HD5" i="1" a="1"/>
  <c r="HD5" i="1" s="1"/>
  <c r="HE5" i="1" a="1"/>
  <c r="HE5" i="1" s="1"/>
  <c r="HF5" i="1" a="1"/>
  <c r="HF5" i="1" s="1"/>
  <c r="HG5" i="1" a="1"/>
  <c r="HG5" i="1" s="1"/>
  <c r="HH5" i="1" a="1"/>
  <c r="HH5" i="1" s="1"/>
  <c r="HI5" i="1" a="1"/>
  <c r="HI5" i="1" s="1"/>
  <c r="HJ5" i="1" a="1"/>
  <c r="HJ5" i="1" s="1"/>
  <c r="HK5" i="1" a="1"/>
  <c r="HK5" i="1" s="1"/>
  <c r="HL5" i="1" a="1"/>
  <c r="HL5" i="1" s="1"/>
  <c r="HM5" i="1" a="1"/>
  <c r="HM5" i="1" s="1"/>
  <c r="HA6" i="1" a="1"/>
  <c r="HA6" i="1" s="1"/>
  <c r="HB6" i="1" a="1"/>
  <c r="HB6" i="1" s="1"/>
  <c r="HC6" i="1" a="1"/>
  <c r="HC6" i="1" s="1"/>
  <c r="HD6" i="1" a="1"/>
  <c r="HD6" i="1" s="1"/>
  <c r="HE6" i="1" a="1"/>
  <c r="HE6" i="1" s="1"/>
  <c r="HF6" i="1" a="1"/>
  <c r="HF6" i="1" s="1"/>
  <c r="HG6" i="1" a="1"/>
  <c r="HG6" i="1" s="1"/>
  <c r="HH6" i="1" a="1"/>
  <c r="HH6" i="1" s="1"/>
  <c r="HI6" i="1" a="1"/>
  <c r="HI6" i="1" s="1"/>
  <c r="HJ6" i="1" a="1"/>
  <c r="HJ6" i="1" s="1"/>
  <c r="HK6" i="1" a="1"/>
  <c r="HK6" i="1" s="1"/>
  <c r="HL6" i="1" a="1"/>
  <c r="HL6" i="1" s="1"/>
  <c r="HM6" i="1" a="1"/>
  <c r="HM6" i="1" s="1"/>
  <c r="HA7" i="1" a="1"/>
  <c r="HA7" i="1" s="1"/>
  <c r="HB7" i="1" a="1"/>
  <c r="HB7" i="1" s="1"/>
  <c r="HC7" i="1" a="1"/>
  <c r="HC7" i="1" s="1"/>
  <c r="HD7" i="1" a="1"/>
  <c r="HD7" i="1" s="1"/>
  <c r="HE7" i="1" a="1"/>
  <c r="HE7" i="1" s="1"/>
  <c r="HF7" i="1" a="1"/>
  <c r="HF7" i="1" s="1"/>
  <c r="HG7" i="1" a="1"/>
  <c r="HG7" i="1" s="1"/>
  <c r="HH7" i="1" a="1"/>
  <c r="HH7" i="1" s="1"/>
  <c r="HI7" i="1" a="1"/>
  <c r="HI7" i="1" s="1"/>
  <c r="HJ7" i="1" a="1"/>
  <c r="HJ7" i="1" s="1"/>
  <c r="HK7" i="1" a="1"/>
  <c r="HK7" i="1" s="1"/>
  <c r="HL7" i="1" a="1"/>
  <c r="HL7" i="1" s="1"/>
  <c r="HM7" i="1" a="1"/>
  <c r="HM7" i="1" s="1"/>
  <c r="HA8" i="1" a="1"/>
  <c r="HA8" i="1" s="1"/>
  <c r="HB8" i="1" a="1"/>
  <c r="HB8" i="1" s="1"/>
  <c r="HC8" i="1" a="1"/>
  <c r="HC8" i="1" s="1"/>
  <c r="HD8" i="1" a="1"/>
  <c r="HD8" i="1" s="1"/>
  <c r="HE8" i="1" a="1"/>
  <c r="HE8" i="1" s="1"/>
  <c r="HF8" i="1" a="1"/>
  <c r="HF8" i="1" s="1"/>
  <c r="HG8" i="1" a="1"/>
  <c r="HG8" i="1" s="1"/>
  <c r="HH8" i="1" a="1"/>
  <c r="HH8" i="1" s="1"/>
  <c r="HI8" i="1" a="1"/>
  <c r="HI8" i="1" s="1"/>
  <c r="HJ8" i="1" a="1"/>
  <c r="HJ8" i="1" s="1"/>
  <c r="HK8" i="1" a="1"/>
  <c r="HK8" i="1" s="1"/>
  <c r="HL8" i="1" a="1"/>
  <c r="HL8" i="1" s="1"/>
  <c r="HM8" i="1" a="1"/>
  <c r="HM8" i="1" s="1"/>
  <c r="HA9" i="1" a="1"/>
  <c r="HA9" i="1" s="1"/>
  <c r="HB9" i="1" a="1"/>
  <c r="HB9" i="1" s="1"/>
  <c r="HC9" i="1" a="1"/>
  <c r="HC9" i="1" s="1"/>
  <c r="HD9" i="1" a="1"/>
  <c r="HD9" i="1" s="1"/>
  <c r="HE9" i="1" a="1"/>
  <c r="HE9" i="1" s="1"/>
  <c r="HF9" i="1" a="1"/>
  <c r="HF9" i="1" s="1"/>
  <c r="HG9" i="1" a="1"/>
  <c r="HG9" i="1" s="1"/>
  <c r="HH9" i="1" a="1"/>
  <c r="HH9" i="1" s="1"/>
  <c r="HI9" i="1" a="1"/>
  <c r="HI9" i="1" s="1"/>
  <c r="HJ9" i="1" a="1"/>
  <c r="HJ9" i="1" s="1"/>
  <c r="HK9" i="1" a="1"/>
  <c r="HK9" i="1" s="1"/>
  <c r="HL9" i="1" a="1"/>
  <c r="HL9" i="1" s="1"/>
  <c r="HM9" i="1" a="1"/>
  <c r="HM9" i="1" s="1"/>
  <c r="HA10" i="1" a="1"/>
  <c r="HA10" i="1" s="1"/>
  <c r="HB10" i="1" a="1"/>
  <c r="HB10" i="1" s="1"/>
  <c r="HC10" i="1" a="1"/>
  <c r="HC10" i="1" s="1"/>
  <c r="HD10" i="1" a="1"/>
  <c r="HD10" i="1" s="1"/>
  <c r="HE10" i="1" a="1"/>
  <c r="HE10" i="1" s="1"/>
  <c r="HF10" i="1" a="1"/>
  <c r="HF10" i="1" s="1"/>
  <c r="HG10" i="1" a="1"/>
  <c r="HG10" i="1" s="1"/>
  <c r="HH10" i="1" a="1"/>
  <c r="HH10" i="1" s="1"/>
  <c r="HI10" i="1" a="1"/>
  <c r="HI10" i="1" s="1"/>
  <c r="HJ10" i="1" a="1"/>
  <c r="HJ10" i="1" s="1"/>
  <c r="HK10" i="1" a="1"/>
  <c r="HK10" i="1" s="1"/>
  <c r="HL10" i="1" a="1"/>
  <c r="HL10" i="1" s="1"/>
  <c r="HM10" i="1" a="1"/>
  <c r="HM10" i="1" s="1"/>
  <c r="HA11" i="1" a="1"/>
  <c r="HA11" i="1" s="1"/>
  <c r="HB11" i="1" a="1"/>
  <c r="HB11" i="1" s="1"/>
  <c r="HC11" i="1" a="1"/>
  <c r="HC11" i="1" s="1"/>
  <c r="HD11" i="1" a="1"/>
  <c r="HD11" i="1" s="1"/>
  <c r="HE11" i="1" a="1"/>
  <c r="HE11" i="1" s="1"/>
  <c r="HF11" i="1" a="1"/>
  <c r="HF11" i="1" s="1"/>
  <c r="HG11" i="1" a="1"/>
  <c r="HG11" i="1" s="1"/>
  <c r="HH11" i="1" a="1"/>
  <c r="HH11" i="1" s="1"/>
  <c r="HI11" i="1" a="1"/>
  <c r="HI11" i="1" s="1"/>
  <c r="HJ11" i="1" a="1"/>
  <c r="HJ11" i="1" s="1"/>
  <c r="HK11" i="1" a="1"/>
  <c r="HK11" i="1" s="1"/>
  <c r="HL11" i="1" a="1"/>
  <c r="HL11" i="1" s="1"/>
  <c r="HM11" i="1" a="1"/>
  <c r="HM11" i="1" s="1"/>
  <c r="HA12" i="1" a="1"/>
  <c r="HA12" i="1" s="1"/>
  <c r="HB12" i="1" a="1"/>
  <c r="HB12" i="1" s="1"/>
  <c r="HC12" i="1" a="1"/>
  <c r="HC12" i="1" s="1"/>
  <c r="HD12" i="1" a="1"/>
  <c r="HD12" i="1" s="1"/>
  <c r="HE12" i="1" a="1"/>
  <c r="HE12" i="1" s="1"/>
  <c r="HF12" i="1" a="1"/>
  <c r="HF12" i="1" s="1"/>
  <c r="HG12" i="1" a="1"/>
  <c r="HG12" i="1" s="1"/>
  <c r="HH12" i="1" a="1"/>
  <c r="HH12" i="1" s="1"/>
  <c r="HI12" i="1" a="1"/>
  <c r="HI12" i="1" s="1"/>
  <c r="HJ12" i="1" a="1"/>
  <c r="HJ12" i="1" s="1"/>
  <c r="HK12" i="1" a="1"/>
  <c r="HK12" i="1" s="1"/>
  <c r="HL12" i="1" a="1"/>
  <c r="HL12" i="1" s="1"/>
  <c r="HM12" i="1" a="1"/>
  <c r="HM12" i="1" s="1"/>
  <c r="HA13" i="1" a="1"/>
  <c r="HA13" i="1" s="1"/>
  <c r="HB13" i="1" a="1"/>
  <c r="HB13" i="1" s="1"/>
  <c r="HC13" i="1" a="1"/>
  <c r="HC13" i="1" s="1"/>
  <c r="HD13" i="1" a="1"/>
  <c r="HD13" i="1" s="1"/>
  <c r="HE13" i="1" a="1"/>
  <c r="HE13" i="1" s="1"/>
  <c r="HF13" i="1" a="1"/>
  <c r="HF13" i="1" s="1"/>
  <c r="HG13" i="1" a="1"/>
  <c r="HG13" i="1" s="1"/>
  <c r="HH13" i="1" a="1"/>
  <c r="HH13" i="1" s="1"/>
  <c r="HI13" i="1" a="1"/>
  <c r="HI13" i="1" s="1"/>
  <c r="HJ13" i="1" a="1"/>
  <c r="HJ13" i="1" s="1"/>
  <c r="HK13" i="1" a="1"/>
  <c r="HK13" i="1" s="1"/>
  <c r="HL13" i="1" a="1"/>
  <c r="HL13" i="1" s="1"/>
  <c r="HM13" i="1" a="1"/>
  <c r="HM13" i="1" s="1"/>
  <c r="HA14" i="1" a="1"/>
  <c r="HA14" i="1" s="1"/>
  <c r="HB14" i="1" a="1"/>
  <c r="HB14" i="1" s="1"/>
  <c r="HC14" i="1" a="1"/>
  <c r="HC14" i="1" s="1"/>
  <c r="HD14" i="1" a="1"/>
  <c r="HD14" i="1" s="1"/>
  <c r="HE14" i="1" a="1"/>
  <c r="HE14" i="1" s="1"/>
  <c r="HF14" i="1" a="1"/>
  <c r="HF14" i="1" s="1"/>
  <c r="HG14" i="1" a="1"/>
  <c r="HG14" i="1" s="1"/>
  <c r="HH14" i="1" a="1"/>
  <c r="HH14" i="1" s="1"/>
  <c r="HI14" i="1" a="1"/>
  <c r="HI14" i="1" s="1"/>
  <c r="HJ14" i="1" a="1"/>
  <c r="HJ14" i="1" s="1"/>
  <c r="HK14" i="1" a="1"/>
  <c r="HK14" i="1" s="1"/>
  <c r="HL14" i="1" a="1"/>
  <c r="HL14" i="1" s="1"/>
  <c r="HM14" i="1" a="1"/>
  <c r="HM14" i="1" s="1"/>
  <c r="HA15" i="1" a="1"/>
  <c r="HA15" i="1" s="1"/>
  <c r="HB15" i="1" a="1"/>
  <c r="HB15" i="1" s="1"/>
  <c r="HC15" i="1" a="1"/>
  <c r="HC15" i="1" s="1"/>
  <c r="HD15" i="1" a="1"/>
  <c r="HD15" i="1" s="1"/>
  <c r="HE15" i="1" a="1"/>
  <c r="HE15" i="1" s="1"/>
  <c r="HF15" i="1" a="1"/>
  <c r="HF15" i="1" s="1"/>
  <c r="HG15" i="1" a="1"/>
  <c r="HG15" i="1" s="1"/>
  <c r="HH15" i="1" a="1"/>
  <c r="HH15" i="1" s="1"/>
  <c r="HI15" i="1" a="1"/>
  <c r="HI15" i="1" s="1"/>
  <c r="HJ15" i="1" a="1"/>
  <c r="HJ15" i="1" s="1"/>
  <c r="HK15" i="1" a="1"/>
  <c r="HK15" i="1" s="1"/>
  <c r="HL15" i="1" a="1"/>
  <c r="HL15" i="1" s="1"/>
  <c r="HM15" i="1" a="1"/>
  <c r="HM15" i="1" s="1"/>
  <c r="HM3" i="1" a="1"/>
  <c r="HM3" i="1" s="1"/>
  <c r="HL3" i="1" a="1"/>
  <c r="HL3" i="1" s="1"/>
  <c r="HK3" i="1" a="1"/>
  <c r="HK3" i="1" s="1"/>
  <c r="HJ3" i="1" a="1"/>
  <c r="HJ3" i="1" s="1"/>
  <c r="HI3" i="1" a="1"/>
  <c r="HI3" i="1" s="1"/>
  <c r="HG3" i="1" a="1"/>
  <c r="HG3" i="1" s="1"/>
  <c r="HE3" i="1" a="1"/>
  <c r="HE3" i="1" s="1"/>
  <c r="HC3" i="1" a="1"/>
  <c r="HC3" i="1" s="1"/>
  <c r="HB3" i="1" a="1"/>
  <c r="HB3" i="1" s="1"/>
  <c r="HA38" i="1" a="1"/>
  <c r="HA38" i="1" s="1"/>
  <c r="HB38" i="1" a="1"/>
  <c r="HB38" i="1" s="1"/>
  <c r="HC38" i="1" a="1"/>
  <c r="HC38" i="1" s="1"/>
  <c r="HD38" i="1" a="1"/>
  <c r="HD38" i="1" s="1"/>
  <c r="HE38" i="1" a="1"/>
  <c r="HE38" i="1" s="1"/>
  <c r="HF38" i="1" a="1"/>
  <c r="HF38" i="1" s="1"/>
  <c r="HG38" i="1" a="1"/>
  <c r="HG38" i="1" s="1"/>
  <c r="HH38" i="1" a="1"/>
  <c r="HH38" i="1" s="1"/>
  <c r="HI38" i="1" a="1"/>
  <c r="HI38" i="1" s="1"/>
  <c r="HJ38" i="1" a="1"/>
  <c r="HJ38" i="1" s="1"/>
  <c r="HK38" i="1" a="1"/>
  <c r="HK38" i="1" s="1"/>
  <c r="HL38" i="1" a="1"/>
  <c r="HL38" i="1" s="1"/>
  <c r="HM38" i="1" a="1"/>
  <c r="HM38" i="1" s="1"/>
  <c r="HA39" i="1" a="1"/>
  <c r="HA39" i="1" s="1"/>
  <c r="HB39" i="1" a="1"/>
  <c r="HB39" i="1" s="1"/>
  <c r="HC39" i="1" a="1"/>
  <c r="HC39" i="1" s="1"/>
  <c r="HD39" i="1" a="1"/>
  <c r="HD39" i="1" s="1"/>
  <c r="HE39" i="1" a="1"/>
  <c r="HE39" i="1" s="1"/>
  <c r="HF39" i="1" a="1"/>
  <c r="HF39" i="1" s="1"/>
  <c r="HG39" i="1" a="1"/>
  <c r="HG39" i="1" s="1"/>
  <c r="HH39" i="1" a="1"/>
  <c r="HH39" i="1" s="1"/>
  <c r="HI39" i="1" a="1"/>
  <c r="HI39" i="1" s="1"/>
  <c r="HJ39" i="1" a="1"/>
  <c r="HJ39" i="1" s="1"/>
  <c r="HK39" i="1" a="1"/>
  <c r="HK39" i="1" s="1"/>
  <c r="HL39" i="1" a="1"/>
  <c r="HL39" i="1" s="1"/>
  <c r="HM39" i="1" a="1"/>
  <c r="HM39" i="1" s="1"/>
  <c r="HA40" i="1" a="1"/>
  <c r="HA40" i="1" s="1"/>
  <c r="HB40" i="1" a="1"/>
  <c r="HB40" i="1" s="1"/>
  <c r="HC40" i="1" a="1"/>
  <c r="HC40" i="1" s="1"/>
  <c r="HD40" i="1" a="1"/>
  <c r="HD40" i="1" s="1"/>
  <c r="HE40" i="1" a="1"/>
  <c r="HE40" i="1" s="1"/>
  <c r="HF40" i="1" a="1"/>
  <c r="HF40" i="1" s="1"/>
  <c r="HG40" i="1" a="1"/>
  <c r="HG40" i="1" s="1"/>
  <c r="HH40" i="1" a="1"/>
  <c r="HH40" i="1" s="1"/>
  <c r="HI40" i="1" a="1"/>
  <c r="HI40" i="1" s="1"/>
  <c r="HJ40" i="1" a="1"/>
  <c r="HJ40" i="1" s="1"/>
  <c r="HK40" i="1" a="1"/>
  <c r="HK40" i="1" s="1"/>
  <c r="HL40" i="1" a="1"/>
  <c r="HL40" i="1" s="1"/>
  <c r="HM40" i="1" a="1"/>
  <c r="HM40" i="1" s="1"/>
  <c r="HA41" i="1" a="1"/>
  <c r="HA41" i="1" s="1"/>
  <c r="HB41" i="1" a="1"/>
  <c r="HB41" i="1" s="1"/>
  <c r="HC41" i="1" a="1"/>
  <c r="HC41" i="1" s="1"/>
  <c r="HD41" i="1" a="1"/>
  <c r="HD41" i="1" s="1"/>
  <c r="HE41" i="1" a="1"/>
  <c r="HE41" i="1" s="1"/>
  <c r="HF41" i="1" a="1"/>
  <c r="HF41" i="1" s="1"/>
  <c r="HG41" i="1" a="1"/>
  <c r="HG41" i="1" s="1"/>
  <c r="HH41" i="1" a="1"/>
  <c r="HH41" i="1" s="1"/>
  <c r="HI41" i="1" a="1"/>
  <c r="HI41" i="1" s="1"/>
  <c r="HJ41" i="1" a="1"/>
  <c r="HJ41" i="1" s="1"/>
  <c r="HK41" i="1" a="1"/>
  <c r="HK41" i="1" s="1"/>
  <c r="HL41" i="1" a="1"/>
  <c r="HL41" i="1" s="1"/>
  <c r="HM41" i="1" a="1"/>
  <c r="HM41" i="1" s="1"/>
  <c r="HA42" i="1" a="1"/>
  <c r="HA42" i="1" s="1"/>
  <c r="HB42" i="1" a="1"/>
  <c r="HB42" i="1" s="1"/>
  <c r="HC42" i="1" a="1"/>
  <c r="HC42" i="1" s="1"/>
  <c r="HD42" i="1" a="1"/>
  <c r="HD42" i="1" s="1"/>
  <c r="HE42" i="1" a="1"/>
  <c r="HE42" i="1" s="1"/>
  <c r="HF42" i="1" a="1"/>
  <c r="HF42" i="1" s="1"/>
  <c r="HG42" i="1" a="1"/>
  <c r="HG42" i="1" s="1"/>
  <c r="HH42" i="1" a="1"/>
  <c r="HH42" i="1" s="1"/>
  <c r="HI42" i="1" a="1"/>
  <c r="HI42" i="1" s="1"/>
  <c r="HJ42" i="1" a="1"/>
  <c r="HJ42" i="1" s="1"/>
  <c r="HK42" i="1" a="1"/>
  <c r="HK42" i="1" s="1"/>
  <c r="HL42" i="1" a="1"/>
  <c r="HL42" i="1" s="1"/>
  <c r="HM42" i="1" a="1"/>
  <c r="HM42" i="1" s="1"/>
  <c r="HA43" i="1" a="1"/>
  <c r="HA43" i="1" s="1"/>
  <c r="HB43" i="1" a="1"/>
  <c r="HB43" i="1" s="1"/>
  <c r="HC43" i="1" a="1"/>
  <c r="HC43" i="1" s="1"/>
  <c r="HD43" i="1" a="1"/>
  <c r="HD43" i="1" s="1"/>
  <c r="HE43" i="1" a="1"/>
  <c r="HE43" i="1" s="1"/>
  <c r="HF43" i="1" a="1"/>
  <c r="HF43" i="1" s="1"/>
  <c r="HG43" i="1" a="1"/>
  <c r="HG43" i="1" s="1"/>
  <c r="HH43" i="1" a="1"/>
  <c r="HH43" i="1" s="1"/>
  <c r="HI43" i="1" a="1"/>
  <c r="HI43" i="1" s="1"/>
  <c r="HJ43" i="1" a="1"/>
  <c r="HJ43" i="1" s="1"/>
  <c r="HK43" i="1" a="1"/>
  <c r="HK43" i="1" s="1"/>
  <c r="HL43" i="1" a="1"/>
  <c r="HL43" i="1" s="1"/>
  <c r="HM43" i="1" a="1"/>
  <c r="HM43" i="1" s="1"/>
  <c r="HA44" i="1" a="1"/>
  <c r="HA44" i="1" s="1"/>
  <c r="HB44" i="1" a="1"/>
  <c r="HB44" i="1" s="1"/>
  <c r="HC44" i="1" a="1"/>
  <c r="HC44" i="1" s="1"/>
  <c r="HD44" i="1" a="1"/>
  <c r="HD44" i="1" s="1"/>
  <c r="HE44" i="1" a="1"/>
  <c r="HE44" i="1" s="1"/>
  <c r="HF44" i="1" a="1"/>
  <c r="HF44" i="1" s="1"/>
  <c r="HG44" i="1" a="1"/>
  <c r="HG44" i="1" s="1"/>
  <c r="HH44" i="1" a="1"/>
  <c r="HH44" i="1" s="1"/>
  <c r="HI44" i="1" a="1"/>
  <c r="HI44" i="1" s="1"/>
  <c r="HJ44" i="1" a="1"/>
  <c r="HJ44" i="1" s="1"/>
  <c r="HK44" i="1" a="1"/>
  <c r="HK44" i="1" s="1"/>
  <c r="HL44" i="1" a="1"/>
  <c r="HL44" i="1" s="1"/>
  <c r="HM44" i="1" a="1"/>
  <c r="HM44" i="1" s="1"/>
  <c r="HA45" i="1" a="1"/>
  <c r="HA45" i="1" s="1"/>
  <c r="HB45" i="1" a="1"/>
  <c r="HB45" i="1" s="1"/>
  <c r="HC45" i="1" a="1"/>
  <c r="HC45" i="1" s="1"/>
  <c r="HD45" i="1" a="1"/>
  <c r="HD45" i="1" s="1"/>
  <c r="HE45" i="1" a="1"/>
  <c r="HE45" i="1" s="1"/>
  <c r="HF45" i="1" a="1"/>
  <c r="HF45" i="1" s="1"/>
  <c r="HG45" i="1" a="1"/>
  <c r="HG45" i="1" s="1"/>
  <c r="HH45" i="1" a="1"/>
  <c r="HH45" i="1" s="1"/>
  <c r="HI45" i="1" a="1"/>
  <c r="HI45" i="1" s="1"/>
  <c r="HJ45" i="1" a="1"/>
  <c r="HJ45" i="1" s="1"/>
  <c r="HK45" i="1" a="1"/>
  <c r="HK45" i="1" s="1"/>
  <c r="HL45" i="1" a="1"/>
  <c r="HL45" i="1" s="1"/>
  <c r="HM45" i="1" a="1"/>
  <c r="HM45" i="1" s="1"/>
  <c r="HA46" i="1" a="1"/>
  <c r="HA46" i="1" s="1"/>
  <c r="HB46" i="1" a="1"/>
  <c r="HB46" i="1" s="1"/>
  <c r="HC46" i="1" a="1"/>
  <c r="HC46" i="1" s="1"/>
  <c r="HD46" i="1" a="1"/>
  <c r="HD46" i="1" s="1"/>
  <c r="HE46" i="1" a="1"/>
  <c r="HE46" i="1" s="1"/>
  <c r="HF46" i="1" a="1"/>
  <c r="HF46" i="1" s="1"/>
  <c r="HG46" i="1" a="1"/>
  <c r="HG46" i="1" s="1"/>
  <c r="HH46" i="1" a="1"/>
  <c r="HH46" i="1" s="1"/>
  <c r="HI46" i="1" a="1"/>
  <c r="HI46" i="1" s="1"/>
  <c r="HJ46" i="1" a="1"/>
  <c r="HJ46" i="1" s="1"/>
  <c r="HK46" i="1" a="1"/>
  <c r="HK46" i="1" s="1"/>
  <c r="HL46" i="1" a="1"/>
  <c r="HL46" i="1" s="1"/>
  <c r="HM46" i="1" a="1"/>
  <c r="HM46" i="1" s="1"/>
  <c r="HA47" i="1" a="1"/>
  <c r="HA47" i="1" s="1"/>
  <c r="HB47" i="1" a="1"/>
  <c r="HB47" i="1" s="1"/>
  <c r="HC47" i="1" a="1"/>
  <c r="HC47" i="1" s="1"/>
  <c r="HD47" i="1" a="1"/>
  <c r="HD47" i="1" s="1"/>
  <c r="HE47" i="1" a="1"/>
  <c r="HE47" i="1" s="1"/>
  <c r="HF47" i="1" a="1"/>
  <c r="HF47" i="1" s="1"/>
  <c r="HG47" i="1" a="1"/>
  <c r="HG47" i="1" s="1"/>
  <c r="HH47" i="1" a="1"/>
  <c r="HH47" i="1" s="1"/>
  <c r="HI47" i="1" a="1"/>
  <c r="HI47" i="1" s="1"/>
  <c r="HJ47" i="1" a="1"/>
  <c r="HJ47" i="1" s="1"/>
  <c r="HK47" i="1" a="1"/>
  <c r="HK47" i="1" s="1"/>
  <c r="HL47" i="1" a="1"/>
  <c r="HL47" i="1" s="1"/>
  <c r="HM47" i="1" a="1"/>
  <c r="HM47" i="1" s="1"/>
  <c r="HA48" i="1" a="1"/>
  <c r="HA48" i="1" s="1"/>
  <c r="HB48" i="1" a="1"/>
  <c r="HB48" i="1" s="1"/>
  <c r="HC48" i="1" a="1"/>
  <c r="HC48" i="1" s="1"/>
  <c r="HD48" i="1" a="1"/>
  <c r="HD48" i="1" s="1"/>
  <c r="HE48" i="1" a="1"/>
  <c r="HE48" i="1" s="1"/>
  <c r="HF48" i="1" a="1"/>
  <c r="HF48" i="1" s="1"/>
  <c r="HG48" i="1" a="1"/>
  <c r="HG48" i="1" s="1"/>
  <c r="HH48" i="1" a="1"/>
  <c r="HH48" i="1" s="1"/>
  <c r="HI48" i="1" a="1"/>
  <c r="HI48" i="1" s="1"/>
  <c r="HJ48" i="1" a="1"/>
  <c r="HJ48" i="1" s="1"/>
  <c r="HK48" i="1" a="1"/>
  <c r="HK48" i="1" s="1"/>
  <c r="HL48" i="1" a="1"/>
  <c r="HL48" i="1" s="1"/>
  <c r="HM48" i="1" a="1"/>
  <c r="HM48" i="1" s="1"/>
  <c r="HA49" i="1" a="1"/>
  <c r="HA49" i="1" s="1"/>
  <c r="HB49" i="1" a="1"/>
  <c r="HB49" i="1" s="1"/>
  <c r="HC49" i="1" a="1"/>
  <c r="HC49" i="1" s="1"/>
  <c r="HD49" i="1" a="1"/>
  <c r="HD49" i="1" s="1"/>
  <c r="HE49" i="1" a="1"/>
  <c r="HE49" i="1" s="1"/>
  <c r="HF49" i="1" a="1"/>
  <c r="HF49" i="1" s="1"/>
  <c r="HG49" i="1" a="1"/>
  <c r="HG49" i="1" s="1"/>
  <c r="HH49" i="1" a="1"/>
  <c r="HH49" i="1" s="1"/>
  <c r="HI49" i="1" a="1"/>
  <c r="HI49" i="1" s="1"/>
  <c r="HJ49" i="1" a="1"/>
  <c r="HJ49" i="1" s="1"/>
  <c r="HK49" i="1" a="1"/>
  <c r="HK49" i="1" s="1"/>
  <c r="HL49" i="1" a="1"/>
  <c r="HL49" i="1" s="1"/>
  <c r="HM49" i="1" a="1"/>
  <c r="HM49" i="1" s="1"/>
  <c r="HM37" i="1" a="1"/>
  <c r="HM37" i="1" s="1"/>
  <c r="HL37" i="1" a="1"/>
  <c r="HL37" i="1" s="1"/>
  <c r="HK37" i="1" a="1"/>
  <c r="HK37" i="1" s="1"/>
  <c r="HJ37" i="1" a="1"/>
  <c r="HJ37" i="1" s="1"/>
  <c r="HI37" i="1" a="1"/>
  <c r="HI37" i="1" s="1"/>
  <c r="HH37" i="1" a="1"/>
  <c r="HH37" i="1" s="1"/>
  <c r="HG37" i="1" a="1"/>
  <c r="HG37" i="1" s="1"/>
  <c r="HF37" i="1" a="1"/>
  <c r="HF37" i="1" s="1"/>
  <c r="HE37" i="1" a="1"/>
  <c r="HE37" i="1" s="1"/>
  <c r="HD37" i="1" a="1"/>
  <c r="HD37" i="1" s="1"/>
  <c r="HC37" i="1" a="1"/>
  <c r="HC37" i="1" s="1"/>
  <c r="HB37" i="1" a="1"/>
  <c r="HB37" i="1" s="1"/>
  <c r="HA37" i="1" a="1"/>
  <c r="HA37" i="1" s="1"/>
  <c r="HH3" i="1" a="1"/>
  <c r="HH3" i="1" s="1"/>
  <c r="HF3" i="1" a="1"/>
  <c r="HF3" i="1" s="1"/>
  <c r="CP16" i="1" l="1"/>
  <c r="EW16" i="1" s="1"/>
  <c r="AR10" i="1"/>
  <c r="AR15" i="1"/>
  <c r="AS15" i="1"/>
  <c r="AT15" i="1"/>
  <c r="AR5" i="1"/>
  <c r="AQ15" i="1"/>
  <c r="AQ8" i="1"/>
  <c r="EQ33" i="1" l="1"/>
  <c r="EQ16" i="1"/>
  <c r="AS4" i="1"/>
  <c r="AR9" i="1"/>
  <c r="AT5" i="1"/>
  <c r="AT9" i="1"/>
  <c r="AS7" i="1"/>
  <c r="AR4" i="1"/>
  <c r="AR3" i="1"/>
  <c r="AS9" i="1"/>
  <c r="AR7" i="1"/>
  <c r="AS3" i="1"/>
  <c r="AQ12" i="1"/>
  <c r="AS6" i="1"/>
  <c r="AQ6" i="1"/>
  <c r="AQ7" i="1"/>
  <c r="AQ5" i="1"/>
  <c r="AQ4" i="1"/>
  <c r="AQ9" i="1"/>
  <c r="AQ14" i="1"/>
  <c r="AR11" i="1"/>
  <c r="AT10" i="1"/>
  <c r="AT14" i="1"/>
  <c r="AS12" i="1"/>
  <c r="AS13" i="1"/>
  <c r="AR13" i="1"/>
  <c r="AQ10" i="1"/>
  <c r="AQ11" i="1"/>
  <c r="AT13" i="1"/>
  <c r="AQ13" i="1"/>
  <c r="AQ3" i="1"/>
  <c r="AS10" i="1"/>
  <c r="AS11" i="1"/>
  <c r="AS14" i="1"/>
  <c r="AT4" i="1"/>
  <c r="AR14" i="1"/>
  <c r="AT3" i="1"/>
  <c r="AS5" i="1"/>
  <c r="AT7" i="1"/>
  <c r="AT6" i="1"/>
  <c r="AR12" i="1"/>
  <c r="AR6" i="1"/>
  <c r="AT12" i="1"/>
  <c r="AR8" i="1"/>
  <c r="AT11" i="1"/>
  <c r="AS8" i="1"/>
  <c r="AT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<sst xmlns="http://schemas.openxmlformats.org/spreadsheetml/2006/main" count="4049" uniqueCount="1421">
  <si>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</si>
  <si>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</si>
  <si>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</si>
  <si>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</si>
  <si>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</si>
  <si>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</si>
  <si>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</si>
  <si>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</si>
  <si>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</si>
  <si>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</si>
  <si>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</si>
  <si>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</si>
  <si>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</si>
  <si>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</si>
  <si>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</si>
  <si>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</si>
  <si>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</si>
  <si>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</si>
  <si>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</si>
  <si>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</si>
  <si>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</si>
  <si>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</si>
  <si>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</si>
  <si>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text</t>
  </si>
  <si>
    <t>Type</t>
  </si>
  <si>
    <t>RQ1.1</t>
  </si>
  <si>
    <t>RQ1.2</t>
  </si>
  <si>
    <t>RQ1.3</t>
  </si>
  <si>
    <t>RQ1.3a</t>
  </si>
  <si>
    <t>RQ2.1</t>
  </si>
  <si>
    <t>RQ2.2</t>
  </si>
  <si>
    <t>RQ2.3</t>
  </si>
  <si>
    <t>RQ3.1</t>
  </si>
  <si>
    <t>RQ3.2</t>
  </si>
  <si>
    <t>INPROCEEDINGS</t>
  </si>
  <si>
    <t>Chaudhary, Sonam and Choudhary, Ankur and Seth, Jyotsna</t>
  </si>
  <si>
    <t>2023 13th International Conference on Cloud Computing, Data Science &amp; Engineering (Confluence)</t>
  </si>
  <si>
    <t>Nature Inspired Approaches for Test Case Selection in Regression Testing: A Review</t>
  </si>
  <si>
    <t>644-649</t>
  </si>
  <si>
    <t>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</si>
  <si>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Software testing;Costs;Software algorithms;Metaheuristics;Search problems;Software;Computational intelligence;Software Testing;Regression Testing;Test Case Selection;Nature Inspired Approaches</t>
  </si>
  <si>
    <t>10.1109/Confluence56041.2023.10048797</t>
  </si>
  <si>
    <t>Jan</t>
  </si>
  <si>
    <t>nature inspired approaches for test case selection in regression testing: a review 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</si>
  <si>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SR</t>
  </si>
  <si>
    <t>2023,selection</t>
  </si>
  <si>
    <t>Metaheuristic-based</t>
  </si>
  <si>
    <t>SIR</t>
  </si>
  <si>
    <t>Ren, Yijie and Yin, Bei-Bei and Wang, Bin</t>
  </si>
  <si>
    <t>2018 IEEE 42nd Annual Computer Software and Applications Conference (COMPSAC)</t>
  </si>
  <si>
    <t>Test Case Prioritization for GUI Regression Testing Based on Centrality Measures</t>
  </si>
  <si>
    <t>454-459</t>
  </si>
  <si>
    <t>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</si>
  <si>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Graphical user interfaces;Software;Object oriented modeling;Complex networks;Software testing;Regression tree analysis;GUI Testing, Regression Testing, Test Case Prioritization, Event Handler Tree, Complex Network</t>
  </si>
  <si>
    <t>10.1109/COMPSAC.2018.10275</t>
  </si>
  <si>
    <t>0730-3157</t>
  </si>
  <si>
    <t>July</t>
  </si>
  <si>
    <t>test case prioritization for gui regression testing based on centrality measures 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</si>
  <si>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PS</t>
  </si>
  <si>
    <t>{2018,Prioritization}</t>
  </si>
  <si>
    <t>Model-based</t>
  </si>
  <si>
    <t>Search-based</t>
  </si>
  <si>
    <t>Single-Objective</t>
  </si>
  <si>
    <t>TerpPaint, TerpSpreadSheet</t>
  </si>
  <si>
    <t>{"TerpPaint":[16 windows,301 widgets,11803 loc,330 classes, 1253 metodi,263 faults],"TerpSpreadSheet":[9,176,5381,135,764,234]}</t>
  </si>
  <si>
    <t>Faults</t>
  </si>
  <si>
    <t>APFD</t>
  </si>
  <si>
    <t>Xiao, Zhengxinchao and Xiao, Lei</t>
  </si>
  <si>
    <t>2023 IEEE/ACIS 21st International Conference on Software Engineering Research, Management and Applications (SERA)</t>
  </si>
  <si>
    <t>A Systematic Literature Review on Test Case Prioritization and Regression Test Selection</t>
  </si>
  <si>
    <t>235-242</t>
  </si>
  <si>
    <t>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</si>
  <si>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Software testing;Productivity;Costs;Systematics;Bibliographies;Soft sensors;Optimization methods;Regression testing;Test case prioritization;Test case selection;Systematic literature review</t>
  </si>
  <si>
    <t>10.1109/SERA57763.2023.10197719</t>
  </si>
  <si>
    <t>2770-8209</t>
  </si>
  <si>
    <t>May</t>
  </si>
  <si>
    <t>a systematic literature review on test case prioritization and regression test selection 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</si>
  <si>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SLR</t>
  </si>
  <si>
    <t>2023,selection+prioritization</t>
  </si>
  <si>
    <t>Defects4J,SIR</t>
  </si>
  <si>
    <t>APFC, APBC, APSC, APTC, APMK, NRPA</t>
  </si>
  <si>
    <t>Ma, Tingting and Zeng, Hongwei and Wang, Xiaolin</t>
  </si>
  <si>
    <t>2016 17th IEEE/ACIS International Conference on Software Engineering, Artificial Intelligence, Networking and Parallel/Distributed Computing (SNPD)</t>
  </si>
  <si>
    <t>Test case prioritization based on requirement correlations</t>
  </si>
  <si>
    <t>419-424</t>
  </si>
  <si>
    <t>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</si>
  <si>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Software;Correlation;Software testing;Heuristic algorithms;Complexity theory;Cognition;Test case prioritization;Requirement correlations;Fault detection rate;Regression Testing</t>
  </si>
  <si>
    <t>10.1109/SNPD.2016.7515934</t>
  </si>
  <si>
    <t>test case prioritization based on requirement correlations 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</si>
  <si>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{2016,Prioritization}</t>
  </si>
  <si>
    <t>Requirement-based</t>
  </si>
  <si>
    <t>Heuristic-based</t>
  </si>
  <si>
    <t>//</t>
  </si>
  <si>
    <t>[59 func. requirements, 42 test cases, 18 faults]</t>
  </si>
  <si>
    <t>AFDP</t>
  </si>
  <si>
    <t>Wang, Xiaolin and Zeng, Hongwei</t>
  </si>
  <si>
    <t>15th IEEE/ACIS International Conference on Software Engineering, Artificial Intelligence, Networking and Parallel/Distributed Computing (SNPD)</t>
  </si>
  <si>
    <t>Dynamic test case prioritization based on multi-objective</t>
  </si>
  <si>
    <t>1-6</t>
  </si>
  <si>
    <t>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</si>
  <si>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History;Testing;Software;Fault detection;Databases;Measurement;Probability;Test case prioritization;Multi-objective;Dynamic;Regression testing</t>
  </si>
  <si>
    <t>10.1109/SNPD.2014.6888744</t>
  </si>
  <si>
    <t>June</t>
  </si>
  <si>
    <t>dynamic test case prioritization based on multi-objective 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</si>
  <si>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{2014,Prioritization}</t>
  </si>
  <si>
    <t>Multi-obj</t>
  </si>
  <si>
    <t>APBC(Average Percentage Block Coverage)</t>
  </si>
  <si>
    <t>2016 IEEE/ACM International Workshop on Continuous Software Evolution and Delivery (CSED)</t>
  </si>
  <si>
    <t>History-Based Dynamic Test Case Prioritization for Requirement Properties in Regression Testing</t>
  </si>
  <si>
    <t>41-47</t>
  </si>
  <si>
    <t>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</si>
  <si>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Software;History;Fault detection;Complexity theory;Software testing;Time factors;Test Case Prioritization; Requirement Property; History Data; Regression Testing</t>
  </si>
  <si>
    <t>10.1145/2896941.2896949</t>
  </si>
  <si>
    <t>history-based dynamic test case prioritization for requirement properties in regression testing 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</si>
  <si>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History-based</t>
  </si>
  <si>
    <t>Single-objective</t>
  </si>
  <si>
    <t>CPMISS</t>
  </si>
  <si>
    <t xml:space="preserve">440,000 lines of Java code (LOC), 500 atomic test cases,71 requirement properties, </t>
  </si>
  <si>
    <t>APFD,FDR(fault detection rate)</t>
  </si>
  <si>
    <t>Buchgeher, Georg and Ernstbrunner, Christian and Ramler, Rudolf and Lusser, Michael</t>
  </si>
  <si>
    <t>2013 IEEE Sixth International Conference on Software Testing, Verification and Validation Workshops</t>
  </si>
  <si>
    <t>Towards Tool-Support for Test Case Selection in Manual Regression Testing</t>
  </si>
  <si>
    <t>74-79</t>
  </si>
  <si>
    <t>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</si>
  <si>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Testing;Manuals;User interfaces;Software systems;Hardware;Context;regression testing;test suite reduction;test case selection;manual testing</t>
  </si>
  <si>
    <t>10.1109/ICSTW.2013.16</t>
  </si>
  <si>
    <t>March</t>
  </si>
  <si>
    <t>towards tool-support for test case selection in manual regression testing 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</si>
  <si>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2013,selection</t>
  </si>
  <si>
    <t>Modification-based</t>
  </si>
  <si>
    <t>heuristic-based</t>
  </si>
  <si>
    <t>single-objective</t>
  </si>
  <si>
    <t>Azizi, Maral</t>
  </si>
  <si>
    <t>2021 IEEE International Conference on Software Testing, Verification and Validation Workshops (ICSTW)</t>
  </si>
  <si>
    <t>A Tag-based Recommender System for Regression Test Case Prioritization</t>
  </si>
  <si>
    <t>146-157</t>
  </si>
  <si>
    <t>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</si>
  <si>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Software testing;Conferences;Computer bugs;Maintenance engineering;Information retrieval;Software;Software reliability;Regression Testing;Test Case Prioritization;IR-based Regression Testing;Recommender Systems;Continuous Integration;Tag-based Recommender System</t>
  </si>
  <si>
    <t>10.1109/ICSTW52544.2021.00035</t>
  </si>
  <si>
    <t>April</t>
  </si>
  <si>
    <t>a tag-based recommender system for regression test case prioritization 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</si>
  <si>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{2021,prioritization}</t>
  </si>
  <si>
    <t>Probability-based</t>
  </si>
  <si>
    <t>(Non classificato, o comunque single-objective)</t>
  </si>
  <si>
    <t>nopCommerce,Umbraco,XStream,JFreeChart,Joda-Time,Commons-
Lang,</t>
  </si>
  <si>
    <t>“Version pair”
(the program versions that we used for the experiment), “LOC”
(the number of lines of code), “TstMethod” (the number of
test cases in method level), “TstClass” (the number of test
cases in class level), “Faults” (the number of faults), “Queries”
(the number of queries that we built from the program change
files), “SrcToken” (the number of tokens of source code), and
“TstToken” (the number tokens of test files)</t>
  </si>
  <si>
    <t>Precision, Recall, and F-Measure, (APFD</t>
  </si>
  <si>
    <t>Wang, Hongda and Xing, Jianchun and Yang, Qiliang and Han, Deshuai and Zhang, Xuewei</t>
  </si>
  <si>
    <t>2015 IEEE 39th Annual Computer Software and Applications Conference</t>
  </si>
  <si>
    <t>Modification Impact Analysis Based Test Case Prioritization for Regression Testing of Service-Oriented Workflow Applications</t>
  </si>
  <si>
    <t>288-297</t>
  </si>
  <si>
    <t>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</si>
  <si>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Testing;Correlation;Software;Synchronization;Schedules;Fault detection;Programmable logic arrays;test case prioritization;dependence analysis;service-oriented workflow applications;modification impact</t>
  </si>
  <si>
    <t>10.1109/COMPSAC.2015.11</t>
  </si>
  <si>
    <t>modification impact analysis based test case prioritization for regression testing of service-oriented workflow applications 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</si>
  <si>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{2015,prioritization}</t>
  </si>
  <si>
    <t xml:space="preserve">Heuristic-based  </t>
  </si>
  <si>
    <t>Travel,ATM,GYMLocker,LoanApproval,MarketPlace,Auction,RiskAssessment,Loan</t>
  </si>
  <si>
    <t>“Application,”
“Source,” “Element,” and “LOC” represent the name of
BPEL applications, the source of BPEL applications, the
number of XML elements, and the number of lines of
code of each application, respectively. In addition, the
columns “COR” and “Link” depict whether or not
correlation sets and links have been used in the BPEL
workflow applications</t>
  </si>
  <si>
    <t xml:space="preserve">APFD </t>
  </si>
  <si>
    <t>Fu, Wenhao and Yu, Huiqun and Fan, Guisheng and Ji, Xiang and Pei, Xin</t>
  </si>
  <si>
    <t>2017 24th Asia-Pacific Software Engineering Conference (APSEC)</t>
  </si>
  <si>
    <t>A Regression Test Case Prioritization Algorithm Based on Program Changes and Method Invocation Relationship</t>
  </si>
  <si>
    <t>169-178</t>
  </si>
  <si>
    <t>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</si>
  <si>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Fault detection;Testing;Greedy algorithms;Software;Software algorithms;Complexity theory;Heuristic algorithms;regression testing;test case prioritization;program changes;method invocation</t>
  </si>
  <si>
    <t>10.1109/APSEC.2017.23</t>
  </si>
  <si>
    <t>Dec</t>
  </si>
  <si>
    <t>a regression test case prioritization algorithm based on program changes and method invocation relationship 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</si>
  <si>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2017,prioritization</t>
  </si>
  <si>
    <t>9 SIR programs: print_tokens ,print_tokens 2,replace,schedule,schedule2,tcas,totinfo,flex,sed,xml-security ,commons lang</t>
  </si>
  <si>
    <t>LOC Methods Test Cases Versions</t>
  </si>
  <si>
    <t>Mutation faults</t>
  </si>
  <si>
    <t>Greca, Renan and Miranda, Breno and Gligoric, Milos and Bertolino, Antonia</t>
  </si>
  <si>
    <t>2022 IEEE/ACM International Conference on Automation of Software Test (AST)</t>
  </si>
  <si>
    <t>Comparing and Combining File-based Selection and Similarity-based Prioritization towards Regression Test Orchestration</t>
  </si>
  <si>
    <t>115-125</t>
  </si>
  <si>
    <t>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</si>
  <si>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Costs;Automation;Statistical analysis;Diversity reception;Debugging;Open source software;Testing;regression testing;test case selection;test case prioritization;test orchestration;Fastazi</t>
  </si>
  <si>
    <t>10.1145/3524481.3527223</t>
  </si>
  <si>
    <t>comparing and combining file-based selection and similarity-based prioritization towards regression test orchestration 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</si>
  <si>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2022,prioritization+selection</t>
  </si>
  <si>
    <t>12Defect4j projects:chart,cli,closure,codec,collections,compress,gson,jsoup,jxpath,lang,math,time</t>
  </si>
  <si>
    <t>#versions,min#tests,max#tests</t>
  </si>
  <si>
    <t>faults</t>
  </si>
  <si>
    <t>Time to first failure,apfd,user+system execution time</t>
  </si>
  <si>
    <t>Choudhary, Ankur and Agrawal, Arun Prakash and Kaur, Arvinder</t>
  </si>
  <si>
    <t>2018 IEEE/ACM 11th International Workshop on Search-Based Software Testing (SBST)</t>
  </si>
  <si>
    <t>An Effective Approach for Regression Test Case Selection Using Pareto Based Multi-Objective Harmony Search</t>
  </si>
  <si>
    <t>13-20</t>
  </si>
  <si>
    <t>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</si>
  <si>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Optimization;Search problems;Software;Genetic algorithms;Software testing;Software algorithms;Software testing;Regression testing;Optimization;Harmony Search;Bat Search Optimization;Cuckoo Search Optimization;Test case selection</t>
  </si>
  <si>
    <t>an effective approach for regression test case selection using pareto based multi-objective harmony search 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</si>
  <si>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2018,selection</t>
  </si>
  <si>
    <t>multi-objective</t>
  </si>
  <si>
    <t>(SIR)flex(5 versions),grep,gzip,5 versions of nano-xml, xml-security</t>
  </si>
  <si>
    <t>Total number
of seeded
faults
Total number
of test cases
Test suite type</t>
  </si>
  <si>
    <t>%age calculated on the basis of max. Faults coverable and max
faults covered for each subject program</t>
  </si>
  <si>
    <t>Zhao, Xiaobin and Wang, Zan and Fan, Xiangyu and Wang, Zhenhua</t>
  </si>
  <si>
    <t>A Clustering-Bayesian Network Based Approach for Test Case Prioritization</t>
  </si>
  <si>
    <t>542-547</t>
  </si>
  <si>
    <t>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</si>
  <si>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Fault detection;Measurement;Testing;Bayes methods;Software quality;Java;Clustering algorithms;Regression testing; Test case prioritization (TCP); Clustering; Bayesian Network (BN)</t>
  </si>
  <si>
    <t>10.1109/COMPSAC.2015.154</t>
  </si>
  <si>
    <t>a clustering-bayesian network based approach for test case prioritization 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</si>
  <si>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2015,prioritization</t>
  </si>
  <si>
    <t>Probability-based+Distribution-based</t>
  </si>
  <si>
    <t>ML-based</t>
  </si>
  <si>
    <t>Non classificato ma al più single</t>
  </si>
  <si>
    <t>xml-security,jtopas,ant taken from SIR</t>
  </si>
  <si>
    <t>KLoC Number
of Classes
Number of
Methods
Class-
level
Tests
Hand-
seeded
Faults</t>
  </si>
  <si>
    <t>Abdelkarim, Mohamed and ElAdawi, Reem</t>
  </si>
  <si>
    <t>2022 IEEE International Conference on Software Testing, Verification and Validation Workshops (ICSTW)</t>
  </si>
  <si>
    <t>TCP-Net: Test Case Prioritization using End-to-End Deep Neural Networks</t>
  </si>
  <si>
    <t>122-129</t>
  </si>
  <si>
    <t>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</si>
  <si>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Deep learning;Software testing;Correlation;Software packages;Conferences;Neural networks;Metadata;regression testing;test case prioritization;neural networks;deep learning;fusion network;incremental learning;hyperparameter optimization</t>
  </si>
  <si>
    <t>10.1109/ICSTW55395.2022.00034</t>
  </si>
  <si>
    <t>2159-4848</t>
  </si>
  <si>
    <t>tcp-net: test case prioritization using end-to-end deep neural networks 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</si>
  <si>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2022,prioritization</t>
  </si>
  <si>
    <t>Calibre Auto-Waivers,Calibre PERC,Calibre nmDRC</t>
  </si>
  <si>
    <t>No. test cases No. source files No. builds Final dataset size Failure %</t>
  </si>
  <si>
    <t>AFDP, accuracy F1 recall precision,trainable parameters</t>
  </si>
  <si>
    <t>Zhang, Weixiang and Qi, Yuhua and Zhang, Xuebo and Wei, Bo and Zhang, Min and Dou, Zhaohui</t>
  </si>
  <si>
    <t>2019 IEEE 21st International Conference on High Performance Computing and Communications; IEEE 17th International Conference on Smart City; IEEE 5th International Conference on Data Science and Systems (HPCC/SmartCity/DSS)</t>
  </si>
  <si>
    <t>On Test Case Prioritization Using Ant Colony Optimization Algorithm</t>
  </si>
  <si>
    <t>2767-2773</t>
  </si>
  <si>
    <t>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</si>
  <si>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Testing;Optimization;Urban areas;Software;Sorting;Software algorithms;Indexes;Software Testing, Test Case Prioritization, Ant Colony Algorithm, Black Box Testing, Regression Testing</t>
  </si>
  <si>
    <t>10.1109/HPCC/SmartCity/DSS.2019.00388</t>
  </si>
  <si>
    <t>Aug</t>
  </si>
  <si>
    <t>on test case prioritization using ant colony optimization algorithm 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</si>
  <si>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2019,prioritization</t>
  </si>
  <si>
    <t>A triangle classification program</t>
  </si>
  <si>
    <t>7 test points and 6 test cases</t>
  </si>
  <si>
    <t>eAPWC-1 ,eAPWC-2,use case distance</t>
  </si>
  <si>
    <t>Huang, Rubing and Zhou, Yunan and Zong, Weiwen and Towey, Dave and Chen, Jinfu</t>
  </si>
  <si>
    <t>2017 IEEE 41st Annual Computer Software and Applications Conference (COMPSAC)</t>
  </si>
  <si>
    <t>An Empirical Comparison of Similarity Measures for Abstract Test Case Prioritization</t>
  </si>
  <si>
    <t>3-12</t>
  </si>
  <si>
    <t>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</si>
  <si>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Testing;Fault detection;Software;Computer science;Software product lines;Fault diagnosis;Algorithm design and analysis;Software testing;test case prioritization;abstract test case;similarity</t>
  </si>
  <si>
    <t>10.1109/COMPSAC.2017.271</t>
  </si>
  <si>
    <t>an empirical comparison of similarity measures for abstract test case prioritization 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</si>
  <si>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flex,grep,sed,gzip,make(all from SIR)</t>
  </si>
  <si>
    <t>Test Pool, for each version V0 V1 V2 V3 V4 V5 LOC e #Faults</t>
  </si>
  <si>
    <t>faults,interaction coverage</t>
  </si>
  <si>
    <t>average percentage of
λ-wise combinations covered (APCC),APFD,</t>
  </si>
  <si>
    <t>Lachmann, Remo and Schulze, Sandro and Nieke, Manuel and Seidl, Christoph and Schaefer, Ina</t>
  </si>
  <si>
    <t>2016 15th IEEE International Conference on Machine Learning and Applications (ICMLA)</t>
  </si>
  <si>
    <t>System-Level Test Case Prioritization Using Machine Learning</t>
  </si>
  <si>
    <t>361-368</t>
  </si>
  <si>
    <t>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</si>
  <si>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Testing;Support vector machines;Software;Training data;Natural languages;Dictionaries;Training;System-Level Testing;Black-Box Testing;Test Case Prioritization;Supervised Machine Learning</t>
  </si>
  <si>
    <t>10.1109/ICMLA.2016.0065</t>
  </si>
  <si>
    <t>system-level test case prioritization using machine learning 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</si>
  <si>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2016,prioritization</t>
  </si>
  <si>
    <t>Single-obj</t>
  </si>
  <si>
    <t>Body Comfort System,Automotive Industry Data</t>
  </si>
  <si>
    <t>Body Comfort System (97 requirements and 128
test cases are defined,180 words after preprocessing,7
failures has been seeded),Automotive Industry Data(more than 10, 000 requirements, 10, 000 test cases,
and 1, 000 reported failures)</t>
  </si>
  <si>
    <t>Arafeen, Md. Junaid and Do, Hyunsook</t>
  </si>
  <si>
    <t>2013 IEEE Sixth International Conference on Software Testing, Verification and Validation</t>
  </si>
  <si>
    <t>Test Case Prioritization Using Requirements-Based Clustering</t>
  </si>
  <si>
    <t>312-321</t>
  </si>
  <si>
    <t>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</si>
  <si>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Testing;Software;Measurement;Complexity theory;Fault detection;Educational institutions;Java;regression testing;test case prioritization;requirements-based clustering;empirical study</t>
  </si>
  <si>
    <t>10.1109/ICST.2013.12</t>
  </si>
  <si>
    <t>test case prioritization using requirements-based clustering 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</si>
  <si>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2013,prioritization</t>
  </si>
  <si>
    <t>Hybrid: Requirement-Based + Distribution-Based + Coverage-Based</t>
  </si>
  <si>
    <t xml:space="preserve">ML-Based </t>
  </si>
  <si>
    <t>Capstone,iTrust</t>
  </si>
  <si>
    <t>Req. Ver. Classes Size (KLOCs) Test Cases Mutation
Faults</t>
  </si>
  <si>
    <t>Hettiarachchi, Charitha and Do, Hyunsook</t>
  </si>
  <si>
    <t>2019 IEEE 19th International Conference on Software Quality, Reliability and Security (QRS)</t>
  </si>
  <si>
    <t>A Systematic Requirements and Risks-Based Test Case Prioritization Using a Fuzzy Expert System</t>
  </si>
  <si>
    <t>374-385</t>
  </si>
  <si>
    <t>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</si>
  <si>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Expert systems;Iron;Security;Software;Testing;Estimation;Complexity theory;Regression testing, requirements risks-based testing, fuzzy expert systems, test case prioritization, software requirements</t>
  </si>
  <si>
    <t>10.1109/QRS.2019.00054</t>
  </si>
  <si>
    <t>a systematic requirements and risks-based test case prioritization using a fuzzy expert system 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</si>
  <si>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iTrust,PasswordSafe,Capstone</t>
  </si>
  <si>
    <t>V er. Size (KLOCs) Req. Test Cases Mutation Faults Mutation
Groups</t>
  </si>
  <si>
    <t>Jiang, Bo and Chan, W.K. and Tse, T.H.</t>
  </si>
  <si>
    <t>2015 IEEE International Conference on Software Quality, Reliability and Security</t>
  </si>
  <si>
    <t>PORA: Proportion-Oriented Randomized Algorithm for Test Case Prioritization</t>
  </si>
  <si>
    <t>131-140</t>
  </si>
  <si>
    <t>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</si>
  <si>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Testing;Subspace constraints;Fault detection;Greedy algorithms;Resource management;Clustering algorithms;Genetic algorithms;Test case prioritization;randomized algorithm;proportional sampling strategy;multi-objective optimization</t>
  </si>
  <si>
    <t>10.1109/QRS.2015.28</t>
  </si>
  <si>
    <t>pora: proportion-oriented randomized algorithm for test case prioritization 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</si>
  <si>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Input-based</t>
  </si>
  <si>
    <t>flex,grep,gzip,sed (SIR)</t>
  </si>
  <si>
    <t>No. of
Faulty
Versions
Executable
Source LOC
Size
of
Test
Pool</t>
  </si>
  <si>
    <t>APFD, prioritization execution time(seconds)</t>
  </si>
  <si>
    <t>Yang, Yu and Wang, Lu and Cha, Na and Li, Hua</t>
  </si>
  <si>
    <t>2023 IEEE 47th Annual Computers, Software, and Applications Conference (COMPSAC)</t>
  </si>
  <si>
    <t>A Test Case Prioritization Based on Genetic Algorithm With Ant Colony and Reinforcement Learning Improvement</t>
  </si>
  <si>
    <t>1588-1593</t>
  </si>
  <si>
    <t>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</si>
  <si>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Q-learning;Software algorithms;Sociology;Genetics;Software;Statistics;Genetic algorithms;test case prioritization;reinforcement learning;genetic algorithm;ant colony algorithm</t>
  </si>
  <si>
    <t>10.1109/COMPSAC57700.2023.00245</t>
  </si>
  <si>
    <t>a test case prioritization based on genetic algorithm with ant colony and reinforcement learning improvement 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</si>
  <si>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2023,prioritization</t>
  </si>
  <si>
    <t>Meta-Heuristic/Hybrid</t>
  </si>
  <si>
    <t>loud-network
convergence platform</t>
  </si>
  <si>
    <t>cloud-network convergence platform</t>
  </si>
  <si>
    <t>Target Test Path Finding Rate</t>
  </si>
  <si>
    <t>Zhang, Xiaofang and Xie, Xiaoyuan and Chen, Tsong Yueh</t>
  </si>
  <si>
    <t>2016 IEEE International Conference on Software Quality, Reliability and Security (QRS)</t>
  </si>
  <si>
    <t>Test Case Prioritization Using Adaptive Random Sequence with Category-Partition-Based Distance</t>
  </si>
  <si>
    <t>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</si>
  <si>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Random sequences;Measurement;Testing;Subspace constraints;Fault detection;Algorithm design and analysis;Semantics;test case prioritization;adaptive random sequence;random sequence;catergory partition;string distance</t>
  </si>
  <si>
    <t>10.1109/QRS.2016.49</t>
  </si>
  <si>
    <t>test case prioritization using adaptive random sequence with category-partition-based distance 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</si>
  <si>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from unix utilities and the SIR: cal,comm,look,spline,uniq,print_tokens,print_tokens2,replace,schedule,schedule2,tot_info</t>
  </si>
  <si>
    <t>LOC # mutants # test cases # categories #
*
failed test cases
Rf =
#
test cases
of TS_C</t>
  </si>
  <si>
    <t>Rf</t>
  </si>
  <si>
    <t>APFD,CP and Manhattan distance, time for prioritization (milliseconds)</t>
  </si>
  <si>
    <t>Noor, Tanzeem Bin and Hemmati, Hadi</t>
  </si>
  <si>
    <t>2015 IEEE 26th International Symposium on Software Reliability Engineering (ISSRE)</t>
  </si>
  <si>
    <t>A similarity-based approach for test case prioritization using historical failure data</t>
  </si>
  <si>
    <t>58-68</t>
  </si>
  <si>
    <t>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</si>
  <si>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Measurement;Testing;Fault detection;History;Context;Software quality;Test case prioritization;Test quality metric;Similarity;Execution trace;Distance function;Historical data;Code coverage;Test size</t>
  </si>
  <si>
    <t>10.1109/ISSRE.2015.7381799</t>
  </si>
  <si>
    <t>Nov</t>
  </si>
  <si>
    <t>a similarity-based approach for test case prioritization using historical failure data 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</si>
  <si>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defects4j datasets:commons lang, jfrechart,commons math,joda time,closure compiler</t>
  </si>
  <si>
    <t>#Studied
Versions
#Versions
(TM works)</t>
  </si>
  <si>
    <t>Hamming Distance (HD), traditional history based (TM),basic counting,edit distance,improved basic counting,test case sizes,method coverage,changed method coverage</t>
  </si>
  <si>
    <t>Găceanu, Radu and Szederjesi-Dragomir, Arnold and Vescan, Andreea</t>
  </si>
  <si>
    <t>2024 IEEE International Conference on Software Analysis, Evolution and Reengineering - Companion (SANER-C)</t>
  </si>
  <si>
    <t>Leveraging Rough Sets for Enhanced Test Case Prioritization in a Continuous Integration Context</t>
  </si>
  <si>
    <t>175-182</t>
  </si>
  <si>
    <t>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</si>
  <si>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Software testing;Uncertainty;Heuristic algorithms;Supervised learning;Rough sets;Clustering algorithms;Reinforcement learning;Test Case Prioritization;Continuous Integration;Rough Sets;Clustering;Faults;Duration;Cycles</t>
  </si>
  <si>
    <t>10.1109/SANER-C62648.2024.00030</t>
  </si>
  <si>
    <t>leveraging rough sets for enhanced test case prioritization in a continuous integration context 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</si>
  <si>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2024,prioritization</t>
  </si>
  <si>
    <t>Non classificato ma al più multi</t>
  </si>
  <si>
    <t>Paint Control,
IOF/ROL and GSDTSR</t>
  </si>
  <si>
    <t>Duration, Fault Rate, Cycles count, and Total runs count</t>
  </si>
  <si>
    <t>NAFPD,</t>
  </si>
  <si>
    <t>Luo, Qi and Moran, Kevin and Poshyvanyk, Denys and Di Penta, Massimiliano</t>
  </si>
  <si>
    <t>2018 IEEE International Conference on Software Maintenance and Evolution (ICSME)</t>
  </si>
  <si>
    <t>Assessing Test Case Prioritization on Real Faults and Mutants</t>
  </si>
  <si>
    <t>240-251</t>
  </si>
  <si>
    <t>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</si>
  <si>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Testing;Software;Fault detection;Genetic algorithms;Correlation;Measurement;Data mining;Test Case Prioritization;Empirical Study;TCP;Mutation Analysis;Mutation Testing;Mutants</t>
  </si>
  <si>
    <t>10.1109/ICSME.2018.00033</t>
  </si>
  <si>
    <t>2576-3148</t>
  </si>
  <si>
    <t>Sep.</t>
  </si>
  <si>
    <t>assessing test case prioritization on real faults and mutants 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</si>
  <si>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2018,prioritization</t>
  </si>
  <si>
    <t>Coverage- and History-based</t>
  </si>
  <si>
    <t>Multi/single obj</t>
  </si>
  <si>
    <t xml:space="preserve">JFreeChart,closure compiler,commons math,joda-time,commons lang  </t>
  </si>
  <si>
    <t>#REAL: #REAL-WORLD
FAULTS; #ALL: #ALL MUTATION FAULTS; #DETECTED:
#MUTATION FAULTS CAN BE DETECTED BY TEST CASES;
#SUBSUMING: SUBSUMING MUTANTS</t>
  </si>
  <si>
    <t>all faults types collected</t>
  </si>
  <si>
    <t>APFD,APFDc,Kendall τ rank,coupling between real faults and mutants,mutation operator type</t>
  </si>
  <si>
    <t>Da Roza, Enrique A. and Lima, Jackson A. Prado and Silva, Rogério C. and Vergilio, Silvia Regina</t>
  </si>
  <si>
    <t>2022 IEEE International Conference on Software Analysis, Evolution and Reengineering (SANER)</t>
  </si>
  <si>
    <t>Machine Learning Regression Techniques for Test Case Prioritization in Continuous Integration Environment</t>
  </si>
  <si>
    <t>196-206</t>
  </si>
  <si>
    <t>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</si>
  <si>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Radio frequency;Machine learning algorithms;Recurrent neural networks;Software algorithms;Reinforcement learning;Software;History;Recurrent Neural Networks;Machine Learning;Continuous Integration;Regression Testing</t>
  </si>
  <si>
    <t>10.1109/SANER53432.2022.00034</t>
  </si>
  <si>
    <t>1534-5351</t>
  </si>
  <si>
    <t>machine learning regression techniques for test case prioritization in continuous integration environment 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</si>
  <si>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 xml:space="preserve">ML-based </t>
  </si>
  <si>
    <t>Druid,fatjson,deeplearning4jdspace,guava,iof/rol,lexisnexis,okhttp,paintcontrol,retrofit,zxing</t>
  </si>
  <si>
    <t>Period Builds I Failures I Test Cases I Duration (min) I Interval (min)</t>
  </si>
  <si>
    <t>NAPFD,average percentage of Faults Detected with cost consideration (APFDc)</t>
  </si>
  <si>
    <t>Marijan, Dusica</t>
  </si>
  <si>
    <t>Multi-perspective Regression Test Prioritization for Time-Constrained Environments</t>
  </si>
  <si>
    <t>157-162</t>
  </si>
  <si>
    <t>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</si>
  <si>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Testing;Fault detection;Manuals;Software;Business;Time factors;Time-frequency analysis;software testing;regression testing;test case prioritization</t>
  </si>
  <si>
    <t>10.1109/QRS.2015.31</t>
  </si>
  <si>
    <t>multi-perspective regression test prioritization for time-constrained environments 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</si>
  <si>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2015, prioritization</t>
  </si>
  <si>
    <t>Heuristic-based (weighted sum)</t>
  </si>
  <si>
    <t>Multi-objective</t>
  </si>
  <si>
    <t xml:space="preserve">Size, LOC Test suite size Min feature interaction coverage Max feature interaction coverage </t>
  </si>
  <si>
    <t>Azizi, Maral and Do, Hyunsook</t>
  </si>
  <si>
    <t>2018 IEEE International Symposium on Software Reliability Engineering Workshops (ISSREW)</t>
  </si>
  <si>
    <t>Graphite: A Greedy Graph-Based Technique for Regression Test Case Prioritization</t>
  </si>
  <si>
    <t>245-251</t>
  </si>
  <si>
    <t>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</si>
  <si>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Graphite;Testing;Measurement;Feature extraction;Task analysis;Fault detection;Genetic algorithms;Regression Testing</t>
  </si>
  <si>
    <t>10.1109/ISSREW.2018.00014</t>
  </si>
  <si>
    <t>Oct</t>
  </si>
  <si>
    <t>graphite: a greedy graph-based technique for regression test case prioritization 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</si>
  <si>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Structure-based</t>
  </si>
  <si>
    <t>nopCommerce,Umbraco-CMS ,jmeter,jtopas</t>
  </si>
  <si>
    <t>“LOC” (the
number of lines of code), “Faults” (the number of faults),
“Version” (the number of versions), and Test Cases (the
number of test cases)</t>
  </si>
  <si>
    <t>test case execution time,percentage of suite runned,APFD</t>
  </si>
  <si>
    <t>Jia, Changjiang and Mei, Lijun and Chan, W.K. and Yu, Y.T. and Tse, T.H.</t>
  </si>
  <si>
    <t>2014 IEEE International Conference on Web Services</t>
  </si>
  <si>
    <t>Is XML-Based Test Case Prioritization for Validating WS-BPEL Evolution Effective in Both Average and Adverse Scenarios?</t>
  </si>
  <si>
    <t>233-240</t>
  </si>
  <si>
    <t>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</si>
  <si>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Testing;XML;Fault detection;Web services;Educational institutions;Indexes;Cities and towns;XML-based factor;WS-BPEL;adaptation;adverse</t>
  </si>
  <si>
    <t>10.1109/ICWS.2014.43</t>
  </si>
  <si>
    <t>is xml-based test case prioritization for validating ws-bpel evolution effective in both average and adverse scenarios? 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</si>
  <si>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2014,prioritization</t>
  </si>
  <si>
    <t>Coverage-based</t>
  </si>
  <si>
    <t>Heuristic</t>
  </si>
  <si>
    <t>atm,buybook,dslservice,gymlocker,loanapprovalò,marketplace,purchase,triphandling</t>
  </si>
  <si>
    <t>Modified
Versions Elements LOC XPath XRG
Branches
WSDL
Elements
Used
Versions</t>
  </si>
  <si>
    <t>Kwon, Jung-Hyun and Ko, In-Young and Rothermel, Gregg and Staats, Matt</t>
  </si>
  <si>
    <t>2014 21st Asia-Pacific Software Engineering Conference</t>
  </si>
  <si>
    <t>Test Case Prioritization Based on Information Retrieval Concepts</t>
  </si>
  <si>
    <t>19-26</t>
  </si>
  <si>
    <t>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</si>
  <si>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Testing;Fault detection;Training;Java;Mathematical model;Linear regression;Information retrieval</t>
  </si>
  <si>
    <t>10.1109/APSEC.2014.12</t>
  </si>
  <si>
    <t>1530-1362</t>
  </si>
  <si>
    <t>test case prioritization based on information retrieval concepts 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</si>
  <si>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Xml-Security(from sir),  Commons-CLI, Commons-Collections,Joda-Time</t>
  </si>
  <si>
    <t>Versions LOC Test Classes Test Methods Mutants</t>
  </si>
  <si>
    <t>Faults injected</t>
  </si>
  <si>
    <t>AFPD</t>
  </si>
  <si>
    <t>Zhao, Yifan and Hao, Dan and Zhang, Lu</t>
  </si>
  <si>
    <t>2023 IEEE International Conference on Software Maintenance and Evolution (ICSME)</t>
  </si>
  <si>
    <t>Revisiting Machine Learning based Test Case Prioritization for Continuous Integration</t>
  </si>
  <si>
    <t>232-244</t>
  </si>
  <si>
    <t>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</si>
  <si>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Measurement;Bridges;Software maintenance;Costs;Codes;Training data;Machine learning;test prioritization;machine learning;continuous integration</t>
  </si>
  <si>
    <t>10.1109/ICSME58846.2023.00032</t>
  </si>
  <si>
    <t>revisiting machine learning based test case prioritization for continuous integration 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</si>
  <si>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Non class ma multi/single</t>
  </si>
  <si>
    <t>bcel,csv,dhcp,text,java-faker,jedis,jsoup,jspirit,maxwell,nfe,spring-data-redis</t>
  </si>
  <si>
    <t>SLOC Selected classes Failing classes CI cycle Failing CI cycle Failure rate (%) Avg commit interval (s) Test duration (s) Time period (months)</t>
  </si>
  <si>
    <t>everything about faults</t>
  </si>
  <si>
    <t>Normalized Time Reduction (NTR),AFPD,NRPA,RPA,(milliseconds)prediction time</t>
  </si>
  <si>
    <t>Wang, Dingbang and Zhao, Yu and Xiao, Lu and Yu, Tingting</t>
  </si>
  <si>
    <t>2023 ACM/IEEE International Symposium on Empirical Software Engineering and Measurement (ESEM)</t>
  </si>
  <si>
    <t>An Empirical Study of Regression Testing for Android Apps in Continuous Integration Environment</t>
  </si>
  <si>
    <t>1-11</t>
  </si>
  <si>
    <t>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</si>
  <si>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Codes;Automation;User interfaces;Software;Mobile applications;Software measurement;Cost benefit analysis;Regression testing;Android apps;Empirical study</t>
  </si>
  <si>
    <t>10.1109/ESEM56168.2023.10304799</t>
  </si>
  <si>
    <t>an empirical study of regression testing for android apps in continuous integration environment 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</si>
  <si>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Altiero, Francesco and Colella, Giovanni and Corazza, Anna and Di Martino, Sergio and Peron, Adriano and Starace, Luigi L. L.</t>
  </si>
  <si>
    <t>2022 48th Euromicro Conference on Software Engineering and Advanced Applications (SEAA)</t>
  </si>
  <si>
    <t>Change-Aware Regression Test Prioritization using Genetic Algorithms</t>
  </si>
  <si>
    <t>125-132</t>
  </si>
  <si>
    <t>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</si>
  <si>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Measurement;Software maintenance;Codes;Software algorithms;Software systems;Linear programming;Time factors;Regression Testing;Test Case Prioritization;Genetic Algorithms</t>
  </si>
  <si>
    <t>10.1109/SEAA56994.2022.00028</t>
  </si>
  <si>
    <t>change-aware regression test prioritization using genetic algorithms 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</si>
  <si>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Change-based</t>
  </si>
  <si>
    <t>AssertJ,JOpt,Metrics</t>
  </si>
  <si>
    <t>Avg.
LoCs
Avg.
Tests
Shared
Tests Description</t>
  </si>
  <si>
    <t>Faultes injected</t>
  </si>
  <si>
    <t>Ahmadreza Saboor Yaraghi; Mojtaba Bagherzadeh; Nafiseh Kahani; Lionel C. Briand</t>
  </si>
  <si>
    <t>IEEE Transactions on Software Engineering</t>
  </si>
  <si>
    <t>Scalable and Accurate Test Case Prioritization in Continuous Integration Contexts</t>
  </si>
  <si>
    <t>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t>
  </si>
  <si>
    <t>Pub Year = 2022
Method = Prioritization</t>
  </si>
  <si>
    <t>ML-based algorithms</t>
  </si>
  <si>
    <t xml:space="preserve"> tcp-ci-dataset</t>
  </si>
  <si>
    <t>Domain = CI-based OSS
#Test Cases = non esplicito, ma 2.5k failed builds totali
LOC = non specificato</t>
  </si>
  <si>
    <t>execution time, fault detection, code complexity, change history, coverage</t>
  </si>
  <si>
    <t>APFD, retrain frequency, feature impact</t>
  </si>
  <si>
    <t>B Jiang, Y Wu, Y Zhang, Z Zhang, WK Chan</t>
  </si>
  <si>
    <t>IEEE Annual International Computer Software and Applications Conference (COMPSAC)</t>
  </si>
  <si>
    <t>ReTestDroid: towards safer regression test selection for android application</t>
  </si>
  <si>
    <t>Mobile applications are widely used in our daily life and Android is the most popular open source mobile operating system. Because mobile applications update frequently, it is important developers to perform regression testing to ensure their quality. Modeling the control flow of an android application based on the activity lifecycle model only is imprecise for regression testing. Because many Android applications use asynchronous tasks, fragments, and native code frequently, which must be considered during change impact analysis. Otherwise, regression test selection techniques may miss some failure-revealing test cases, compromising the safety of these techniques. In this work, we propose a novel approach to model asynchronous task invocations, fragment-based activity lifecycle, and native code within the control flow graph of an Android application. Furthermore, we designed a regression test selection tool ReTestDroid based on our graph model. Our experiments on five real-life Android applications showed that our approach could enable much safer regression test selection while significantly saving regression-testing time.</t>
  </si>
  <si>
    <t>Pub Year = 2018
Method = Selection</t>
  </si>
  <si>
    <t>SUT usati:
K9-Mail
Music (Android built-in)
Open Sudoku
Tomdroid
Mozilla Firefox Mobile</t>
  </si>
  <si>
    <t>App: K9-Mail — Domain: Email — Test Cases: 200 — LOC: 24.5K
App: Music — Domain: Multimedia — Test Cases: 200 — LOC: 11.9K
App: Open Sudoku — Domain: Game — Test Cases: 200 — LOC: 3.4K
App: Tomdroid — Domain: Notes — Test Cases: 200 — LOC: 4.9K
App: Mozilla Firefox Mobile — Domain: Browser — Test Cases: 200 — LOC: 86.9K</t>
  </si>
  <si>
    <t xml:space="preserve"> Control flow coverage, Structural changes, Code coverage matrix</t>
  </si>
  <si>
    <t>Safety, % di test selezionati, Test suite execution time</t>
  </si>
  <si>
    <t>Y Lu, Y Lou, S Cheng, L Zhang, D Hao, Y Zhou, L Zhang</t>
  </si>
  <si>
    <t>ICSE '16: Proceedings of the 38th International Conference on Software Engineering</t>
  </si>
  <si>
    <t>How does regression test prioritization perform in real-world software evolution?</t>
  </si>
  <si>
    <t>In recent years, researchers have intensively investigated various topics in test prioritization, which aims to re-order tests to increase the rate of fault detection during regression testing. While the main research focus in test prioritization is on proposing novel prioritization techniques and evaluating on more and larger subject systems, little effort has been put on investigating the threats to validity in existing work on test prioritization. One main threat to validity is that existing work mainly evaluates prioritization techniques based on simple artificial changes on the source code and tests. For example, the changes in the source code usually include only seeded program faults, whereas the test suite is usually not augmented at all. On the contrary, in real-world software development, software systems usually undergo various changes on the source code and test suite augmentation. Therefore, it is not clear whether the conclusions drawn by existing work in test prioritization from the artificial changes are still valid for real-world software evolution. In this paper, we present the first empirical study to investigate this important threat to validity in test prioritization. We reimplemented 24 variant techniques of both the traditional and time-aware test prioritization, and investigated the impacts of software evolution on those techniques based on the version history of 8 real-world Java programs from GitHub. The results show that for both traditional and time-aware test prioritization, test suite augmentation significantly hampers their effectiveness, whereas source code changes alone do not influence their effectiveness much.</t>
  </si>
  <si>
    <t>Pub Year = 2016
Method = Prioritization</t>
  </si>
  <si>
    <t>jasmine-maven, java-apns, jopt-simple, la4j, scribe-java, vraptor-core, assertj-core, metrics-core</t>
  </si>
  <si>
    <t>LOC = 1.3K–67K
Test Cases = 7–5,269
Domain = Librerie Java reali</t>
  </si>
  <si>
    <t>code coverage, execution time, fault detection, test history</t>
  </si>
  <si>
    <t xml:space="preserve"> APFD, var. APFD, statistical significance tests</t>
  </si>
  <si>
    <t>S Ji, B Li, P Zhang</t>
  </si>
  <si>
    <t>IEEE Access, 2019</t>
  </si>
  <si>
    <t>Test case selection for all-uses criterion-based regression testing of composite service</t>
  </si>
  <si>
    <t>Composite services evolve for various reasons. Test case selection in the regression testing is an effective technique to ensure the correctness of modified versions meanwhile to reduce the cost of testing. However, few work has studied the test case selection problem based on the data flow testing criteria. In addition, there are three observable kinds of changes during the evolution, including Process change, Binding change and Interface change, which all bring impact to the data flow. To address these issues, a test case selection approach is proposed for regression testing of BPEL (Business Process Execution Language) composite service where all-uses criterion is satisfied and all the three change types are involved. BPEL composite service is modeled with a two-level model in which XCFG (eXtended Control Flow Graph) describes the behavior of BPEL process in the first level and WSDM (Web Service Description Model) depicts the interface information of composite service and partner services in the second level. Change impact analysis is performed to identify the affected definition-use pairs by comparing and analyzing two-level models of the baseline and evolved versions. And testing paths are generated to cover the affected definition-use pairs and select test cases based on the path condition analysis. Empirical result shows that the proposed approach is effective.</t>
  </si>
  <si>
    <t>Pub Year = 2019
Method = Selection</t>
  </si>
  <si>
    <t>Loan Composite Service</t>
  </si>
  <si>
    <t>Dominio = Servizi Web / SOA
#Test Cases = non specificato
LOC = non specificato</t>
  </si>
  <si>
    <t xml:space="preserve"> data-flow info, interface info, process/binding/interface changes</t>
  </si>
  <si>
    <t>Qualitative/Effectiveness</t>
  </si>
  <si>
    <t>O Legunsen, F Hariri, A Shi, Y Lu, L Zhang, D Marinov</t>
  </si>
  <si>
    <t>FSE 2016: Proceedings of the 2016 24th ACM SIGSOFT International Symposium on Foundations of Software Engineering</t>
  </si>
  <si>
    <t>An extensive study of static regression test selection in modern software evolution</t>
  </si>
  <si>
    <t>Regression test selection (RTS) aims to reduce regression testing time by only re-running the tests affected by code changes. Prior research on RTS can be broadly split into dy namic and static techniques. A recently developed dynamic RTS technique called Ekstazi is gaining some adoption in practice, and its evaluation shows that selecting tests at a coarser, class-level granularity provides better results than selecting tests at a finer, method-level granularity. As dynamic RTS is gaining adoption, it is timely to also evaluate static RTS techniques, some of which were proposed over three decades ago but not extensively evaluated on modern software projects.
This paper presents the first extensive study that evaluates the performance benefits of static RTS techniques and their safety; a technique is safe if it selects to run all tests that may be affected by code changes. We implemented two static RTS techniques, one class-level and one method-level, and compare several variants of these techniques. We also compare these static RTS techniques against Ekstazi, a state-of-the-art, class-level, dynamic RTS technique. The experimental results on 985 revisions of 22 open-source projects show that the class-level static RTS technique is comparable to Ekstazi, with similar performance benefits, but at the risk of being unsafe sometimes. In contrast, the method-level static RTS technique performs rather poorly.</t>
  </si>
  <si>
    <t>Pub Year = 2016
Method = Selection</t>
  </si>
  <si>
    <t>invokebinder, logback-encoder, compile-testing, commons-cli, commons-dbutils, commons-fileupload, commons-validator, asterisk-java, commons-codec, commons-compress, commons-email, commons-collections, commons-lang, commons-imaging, commons-dbcp, HikariCP, commons-io, addthis.stream-lib, commons-math, OpenTripPlanner, commons-pool2, jankotek.mapdb</t>
  </si>
  <si>
    <t>LOC = 2k–185k
#Test = 2–450+
Domain = Java OSS libraries/tools</t>
  </si>
  <si>
    <t>static dependencies, call graphs, bytecode change detection</t>
  </si>
  <si>
    <t xml:space="preserve"> #Tests selected, Time, Safety %, Precision %</t>
  </si>
  <si>
    <t>L Zhang</t>
  </si>
  <si>
    <t>Proceedings of the 40th International Conference on Software Engineering, 2018</t>
  </si>
  <si>
    <t>Hybrid regression test selection</t>
  </si>
  <si>
    <t>Regression testing is crucial but can be extremely costly. Regression Test Selection (RTS) aims to reduce regression testing cost by only selecting and running the tests that may be affected by code changes. To date, various RTS techniques analyzing at different granularities (e.g., at the basic-block, method, and file levels) have been proposed. RTS techniques working on finer granularities may be more precise in selecting tests, while techniques working on coarser granularities may have lower overhead. According to a recent study, RTS at the file level (FRTS) can have less overall testing time compared with a finer grained technique at the method level, and represents state-of-the-art RTS. In this paper, we present the first hybrid RTS approach, HyRTS, that analyzes at multiple granularities to combine the strengths of traditional RTS techniques at different granularities. We implemented the basic HyRTS technique by combining the method and file granularity RTS. The experimental results on 2707 revisions of 32 projects, totalling over 124 Million LoC, demonstrate that HyRTS outperforms state-of-the-art FRTS significantly in terms of selected test ratio and the offline testing time. We also studied the impacts of each type of method-level changes, and further designed two new HyRTS variants based on the study results. Our additional experiments show that transforming instance method additions/deletions into file-level changes produces an even more effective HyRTS variant that can significantly outperform FRTS in both offline and online testing time.</t>
  </si>
  <si>
    <t>invokebinder, compile-testing, logstash-logback-encoder, commons-cli, joda-time, commons-dbutils, commons-validator, commons-fileupload, asterisk-java, commons-functor, la4j, commons-jxpath, commons-email, commons-compress, commons-codec, jfreechart, commons-collections, commons-lang, commons-imaging, commons-configuration, commons-net, closure-compiler, java-apns, commons-io, commons-math, commons-dbcp, log4j, stream-lib, HikariCP, OpenTripPlanner, commons-pool, mapdb</t>
  </si>
  <si>
    <t>Domain = Java Open-Source Libraries / Applications
#Test Cases = 2-16k
LOC = 214k-29m</t>
  </si>
  <si>
    <t xml:space="preserve"> Bytecode-level checksums, Method-level code changes, Runtime test dependencies</t>
  </si>
  <si>
    <t>Selected Test Ratio; AE time (Analysis + Execution); AEC time (Analysis + Execution + Collection)</t>
  </si>
  <si>
    <t>Shouvick Mondal, Rupesh Nasre</t>
  </si>
  <si>
    <t>Journal of Systems and Software</t>
  </si>
  <si>
    <t>Hansie: Hybrid and consensus regression test prioritization</t>
  </si>
  <si>
    <t>Traditionally, given a test-suite and the underlying system-under-test, existing test-case prioritization heuristics report a permutation of the original test-suite that is seemingly best according to their criteria. However, we observe that a single heuristic does not perform optimally in all possible scenarios, given the diverse nature of software and its changes. Hence, multiple individual heuristics exhibit effectiveness differently. Interestingly, together, the heuristics bear the potential of improving the overall regression test selection across scenarios. In this paper, we pose the test-case prioritization as a rank aggregation problem from social choice theory. Our solution approach, named Hansie, is two-flavored: one involving priority-aware hybridization, and the other involving priority-blind computation of a consensus ordering from individual prioritizations. To speed-up test-execution, Hansie executes the aggregated test-case orderings in a parallel multi-processed manner leveraging regular windows in the absence of ties, and irregular windows in the presence of ties. We show the benefit of test-execution after prioritization and introduce a cost-cognizant metric (EPL) for quantifying overall timeline latency due to load-imbalance arising from uniform or non-uniform parallelization windows. We evaluate Hansie on 20 open-source subjects totaling 287,530 lines of source code, 69,305 test-cases, and with parallelization support of up to 40 logical CPUs.</t>
  </si>
  <si>
    <t>Pub Year = 2021
Method = Prioritization</t>
  </si>
  <si>
    <t>Software-artifact Infrastructure Repository (SIR), GTSP</t>
  </si>
  <si>
    <t>Domain = Java / C / LISP CLI-based applications
#Test Cases = 400-2700
LOC = 1000-8000</t>
  </si>
  <si>
    <t>Basic-block coverage, Code changes (add/modify/delete), Relevance score, Confinedness score, Execution cost, Regression version pairs, Failure labels (pass/fail vectors), Prioritization permutations, Kendall-tau/Hansie distance metrics, Tie-handling and rank-based voting heuristics</t>
  </si>
  <si>
    <t>APFD, APFDc, EPS , ECC,  EPLω, Kendall-τ and Hansie distances for consensus quality</t>
  </si>
  <si>
    <t>X Wang, A Muqeet, T Yue, S Ali, P Arcaini</t>
  </si>
  <si>
    <t>ACM Transactions on Software Engineering and Methodology, 2024</t>
  </si>
  <si>
    <t>Test case minimization with quantum annealers</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</si>
  <si>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</si>
  <si>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Pub Year = 2024
Method = Minimization</t>
  </si>
  <si>
    <t>Search-based, Quantum, Minimization</t>
  </si>
  <si>
    <t>PaintControl, GSDTSR, IOF/ROL</t>
  </si>
  <si>
    <t>#Test Cases= 89–1663
Domain = Robotics / CI pipelines
LOC= non specificato</t>
  </si>
  <si>
    <t xml:space="preserve"> Execution time, failure rate</t>
  </si>
  <si>
    <t>FV, exTime, Embedding time, significance tests</t>
  </si>
  <si>
    <t>N Khoshniat, A Jamarani, A Ahmadzadeh, M Haghi Kashani, E Mahdipour</t>
  </si>
  <si>
    <t xml:space="preserve"> Soft Computing</t>
  </si>
  <si>
    <t>Nature-inspired metaheuristic methods in software testing</t>
  </si>
  <si>
    <t>Software quality is becoming a momentous challenge in software engineering processes, and software testing has a pivotal role in its measurements. Nature-inspired metaheuristic methods play an essential role in software testing, in which various studies have been conducted in this field; however, due to a lack of wide-ranging papers reviewing these methods, conducting a comprehensive systematic review to examine an array of crucial mechanisms in this field has become a necessity. This study aims to present a detailed analysis and taxonomically classifies the metaheuristic methods inspired by nature. This paper compromises a systematic literature review of 65 chosen studies published between 2015 and 2022. Genetic algorithm-based, hybrid, ant colony optimization-based, cuckoo search-based, firefly algorithm-based, artificial bee colony-based, and other metaheuristic methods constitute this systematic study’s stratification. Evaluation methods, applied tools, merits, and demerits of each reviewed article are investigated. Additionally, future directions and open issues are addressed. This conducted paper not only expounds on software testing strengths, open issues, and future works, but also recognizes the quest for optimizing the insufficient metrics in software testing, such as mutation score, complexity, and scalability, which would be the propulsion of the testing process if consummated.</t>
  </si>
  <si>
    <t>Pub Year = 2023
Method = None (Survey)</t>
  </si>
  <si>
    <t>J Chen, Y Gu, S Cai, H Chen, J Chen</t>
  </si>
  <si>
    <t>Journal of Software: Evolution and Process, 2024</t>
  </si>
  <si>
    <t>A novel test case prioritization approach for black‐box testing based on K‐medoids clustering</t>
  </si>
  <si>
    <t>Regression testing is an essential and expensive process in software testing. However, there may be insufficient resources for the execution of all test cases during regression testing. Test case prioritization (TCP) techniques improve the efficiency of regression testing by adjusting the test case execution sequence. Traditional TCP techniques usually rely on the historical execution information of the software under test for more efficient results. String distance‐based TCP (SD‐TCP) avoids these limitations; it uses only the textual difference information of the test cases themselves for prioritization. However, the time overhead on the sorting process of this method is not ideal, and the extreme test case inputs have an impact on the stability of the method. To address these problems, we propose a novel test case prioritization strategy, it first classifies the test cases more finely using the K‐medoids algorithm and then transforms the set into subsequences and improves the early diversity by greedy sorting within clusters. Finally, the test cases are selected through a polling strategy to compose the execution sequence. Extensive experimental results demonstrate that the proposed approach outperforms SD‐TCP in better time efficiency on test case prioritization; it also has a higher average percentage of fault detected (APFD) value than random prioritization (RP) and SD‐TCP.</t>
  </si>
  <si>
    <t>Pub Year = 2024
Method = Prioritization</t>
  </si>
  <si>
    <t>Siemens suite</t>
  </si>
  <si>
    <t>LOC: 3.7k–18k
#Test cases: 1052–5542
Dominio = Benchmark C programs</t>
  </si>
  <si>
    <t>string similarity, test input diversity, clustering output</t>
  </si>
  <si>
    <t>APFD, execution time, first-fault position, p-value</t>
  </si>
  <si>
    <t>ZC Demir, Ş Emrah Amrahov</t>
  </si>
  <si>
    <t>Soft Computing, 2022</t>
  </si>
  <si>
    <t>Dominating set-based test prioritization algorithms for regression testing</t>
  </si>
  <si>
    <t>In this study, we consider test case prioritization (TCP) problem for regression testing. Regression tests are used to ensure that software updates do not affect other software functionality. In the process of regression tests, the tests previously used for software testing are run again. However, running all existing tests is a costly process as it will cause time and labor loss. Therefore, an optimization can be made by giving priority to the tests according to certain criteria and running the tests with high priority values. This reduces the burden of unnecessary tests and regression tests reach their goals more quickly. In this study, we show that TCP problem is equivalent to the problem of finding dominating sets for the bipartite graphs. We propose 3 algorithms based on dominating sets and then we compare experimental results of the proposed algorithms with the results of the existing algorithms.</t>
  </si>
  <si>
    <t>Pub Year: 2022
Method= Prioritization</t>
  </si>
  <si>
    <t>Greedy algorithms</t>
  </si>
  <si>
    <t>simulato</t>
  </si>
  <si>
    <t>Domain = synthetic test–requirement matrices
#Test Cases: da 50 a 100,000
LOC:  Non applicabile (no codice reale)</t>
  </si>
  <si>
    <t xml:space="preserve">Test–Requirement traceability matrix, </t>
  </si>
  <si>
    <t>Test cases needed to cover all requirements, execution time per algorithm (in seconds), % of requirements covered, Comparison against GA, ACO, PSO</t>
  </si>
  <si>
    <t>0.5
(Gli autori dichiarano che i codici sono disponibili su richiesta, ma non sono pubblicamente accessibili)</t>
  </si>
  <si>
    <t>M Hasnain, MF Pasha, I Ghani, SR Jeong</t>
  </si>
  <si>
    <t>SN Computer Science, 2021</t>
  </si>
  <si>
    <t>Functional Requirement-Based Test Case Prioritization in Regression Testing: A Systematic Literature Review</t>
  </si>
  <si>
    <t>Regression testing, as an important part of the software life cycle, ensures the validity of modified software. Researchers’ focus of this research is on functional requirement-based ‘Test Case Prioritization’ (TCP) because requirement specifications help keep the software correctness on customers’ perceived priorities. This research study is aimed to investigate requirement-based TCP approaches, regression testing aspects, applications regarding the validation of proposed TCP approaches, systems’ size under regression testing, test case size and relevant revealed faults, TCP related issues, TCP issues and types of primary studies. Researchers of this paper examined research publications, which have been published between 2009 and 2019, within the seven most significant digital repositories. These repositories are popular, and mostly used for searching papers on topics in software engineering domain. We have performed a meticulous screening of research studies and selected 35 research papers through which to investigate the answers to the proposed research questions. The final outcome of this paper showed that functional requirement-based TCP approaches have been widely covered in primary studies. The results indicated that fault size and the number of test cases are mostly discussed as regression testing aspects within primary studies. In this review paper, it has been identified that iTrust system is widely examined by researchers in primary studies. This paper’s conclusion indicated that most of the primary studies have been demonstrated in the real-world settings by respective researchers of focused primary studies. The findings of this “Systematic Literature Review” (SLR) reveal some suggestions to be undertaken in future research works, such as improving the software quality, and conducting evaluations of larger systems.</t>
  </si>
  <si>
    <t>Pub Year: 2021
Method: Prioritization</t>
  </si>
  <si>
    <t>Muhammad Khatibsyarbini; Mohd Adham Isa; Dayang N. A. Jawawi; Muhammad Luqman Mohd Shafie; Wan Mohd Nasir Wan-Kadir; Haza Nuzly Abdull Hamed</t>
  </si>
  <si>
    <t>IEEE Access, 2021</t>
  </si>
  <si>
    <t>Trend application of machine learning in test case prioritization: A review on techniques</t>
  </si>
  <si>
    <t>Software quality can be assured by passing the process of software testing. However, software testing process involve many phases which lead to more resources and time consumption. To reduce these downsides, one of the approaches is to adopt test case prioritization (TCP) where numerous works has indicated that TCP do improve the overall software testing performance. TCP does have several kinds of techniques which have their own strengths and weaknesses. As for this review paper, the main objective of this paper is to examine deeper on machine learning (ML) techniques based on research questions created. The research method for this paper was designed in parallel with the research questions. Consequently, 110 primary studies were selected where, 58 were journal articles, 50 were conference papers and 2 considered as others articles. For overall result, it can be said that ML techniques in TCP has trending in recent years yet some improvements are certainly welcomed. There are multiple ML techniques available, in which each technique has specified potential values, advantages, and limitation. It is notable that ML techniques has been considerably discussed in TCP approach for software testing.</t>
  </si>
  <si>
    <t>Hieu Huynh, Nhu Pham, Tien N. Nguyen, Vu Nguyen</t>
  </si>
  <si>
    <t>ISSTA 2024: Proceedings of the 33rd ACM SIGSOFT International Symposium on Software Testing and Analysis</t>
  </si>
  <si>
    <t>Segment-Based Test Case Prioritization: A Multi-objective Approach</t>
  </si>
  <si>
    <t>Regression testing of software is a crucial but time-consuming task, especially in the context of user interface (UI) testing where multiple microservices must be validated simultaneously. Test case prioritization (TCP) is a cost-efficient solution to address this by scheduling test cases in an execution order that maximizes an objective function, generally aimed at increasing the fault detection rate. While several techniques have been proposed for TCP, most rely on source code information which is usually not available for UI testing. In this paper, we introduce a multi-objective optimization approach to prioritize UI test cases, using evolutionary search algorithms and four coverage criteria focusing on web page elements as objectives for the optimization problem. Our method, which does not require source code information, is evaluated using two evolutionary algorithms (AGE-MOEA and NSGA-II) and compared with other TCP methods on a self-collected dataset of 11 test suites. The results show that our approach significantly outperforms other methods in terms of Average Percentage of Faults Detected (APFD) and APFD with Cost (APFDc), achieving the highest scores of 87.8% and 79.2%, respectively. We also introduce a new dataset and demonstrate the significant improvement of our approach over existing ones via empirical experiments. The paper’s contributions include the application of web page segmentation in TCP, the construction of a new dataset for UI TCP, and empirical comparisons that demonstrate the improvement of our approach.</t>
  </si>
  <si>
    <t>Pub Year: 2024
Method: Prioritization</t>
  </si>
  <si>
    <t xml:space="preserve">addressbook, claroline, dimeshift, pagekit, phoenix, ppma,  juice_shop , mattermost, moodle </t>
  </si>
  <si>
    <t>Domain = Web Applications (UI-based)
#Test Cases = 27–314
LOC = N/A (non riportato)</t>
  </si>
  <si>
    <t>Segment-based DOM analysis, segment coverage, object coverage, object-type coverage , sibling object coverage, dynamically extracted XPath, URL and object type</t>
  </si>
  <si>
    <t>APFD, APFDc, MTFD, NAPFD, FDR</t>
  </si>
  <si>
    <t xml:space="preserve">Namita Panda &amp; Durga Prasad Mohapatra </t>
  </si>
  <si>
    <t xml:space="preserve"> International Journal of System Assurance Engineering and Management </t>
  </si>
  <si>
    <t>Test scenario prioritization from user requirements for web-based software</t>
  </si>
  <si>
    <t>User requirements are the building blocks for development of software applications. User requirements decide the width and breadth of any software. Nowadays, test scenarios are prepared from the user requirements, which give the test engineers ample scope to review the test plan thoroughly before doing software testing. Regression testing is carried out to know the effect of requirement changes on the functionalities and performance of the software. Test scenario prioritization, which is one of the techniques to perform regression testing, maximizes the ease of debugging for the system under test. The code based test scenario prioritization and model based test scenario prioritization have their own limitations. So, to achieve ease of debugging and to get more time for reviewing the test plans, researchers are now working on test scenario prioritization using requirements collected from the end users. In this paper, we propose an approach named Requirement based test scenario prioritization to prioritize test scenarios using requirements collected from end users for developing software applications. The user’s functional requirements are collected and is assigned with some weight depending upon different factors like complexity of implementing the requirements, type of release of the requirements, requirement volatility, coupling between requirements etc. Test scenarios are generated from requirements collected from the end users. Then, the final priority weight of each test scenario is found out by considering the weight of each requirement covered by the corresponding test scenario and the percentage of requirements coverage made by each test scenario. The test scenarios are prioritized based on the final priority weight. The proposed approach is evaluated using average percentage of fault detection metric and is found to be very efficient in early test scenario prioritization and detection of faults.</t>
  </si>
  <si>
    <t>Search-based, Cost-aware</t>
  </si>
  <si>
    <t>SUT usati:
flex
grep
gzip
sed
space</t>
  </si>
  <si>
    <t>Domain = Command-line C Utilities (SIR Benchmark)
#Test Cases = 316–1,004
LOC = 5.7K–13.6K</t>
  </si>
  <si>
    <t>Fault detection history, execution time, test similarity (Levenshtein distance), cost-aware prioritization, mutation faults, test ID mapping, fault severity level</t>
  </si>
  <si>
    <t xml:space="preserve">APFD, APFDc (cost-aware), MTD, RE, FEM, FSE,  </t>
  </si>
  <si>
    <t>Sadia Ali, Yaser Hafeez, Shariq Hussain &amp; Shunkun Yang</t>
  </si>
  <si>
    <t xml:space="preserve"> Software Quality Journal </t>
  </si>
  <si>
    <t>Enhanced regression testing technique for agile software development and continuous integration strategies</t>
  </si>
  <si>
    <t>To survive in competitive marketplaces, most organizations have adopted agile methodologies to facilitate continuous integration and faster application delivery and rely on regression testing during application development to validate the quality and reliability of the software after changes have been made. Consequently, for large projects with cost and time constraints, it is extremely difficult to determine which test cases to run at the end of each release. In this paper, a test case prioritization and selection approach is proposed to improve the quality of releases. From existing literature, we analyzed prevailing problems and proposed solution relevant to regression testing in agile practices. The proposed approach is based on two phases. First, test cases are prioritized by clustering those test cases that frequently change. In case of a tie, test cases are prioritized based on their respective failure frequencies and coverage criteria. Second, test cases with a higher frequency of failure or coverage criteria are selected. The proposed technique was validated by an empirical study on three industrial subjects. The results show that the method successfully selects an optimal test suite and increases the fault detection rate (i.e., more than 90% in the case of proposed technique and less than 50% in other techniques), which reduces the number of irrelevant test cases and avoids detecting duplicate faults. The results of evaluation metrics illustrate that the proposed technique significantly outperform (i.e., between 91 and 97%) as compared to other existing regression testing techniques (i.e., between 52 and 68%). Therefore, our model enhances the test case prioritization and selection with the ability for earlier and high fault detection. Thus, pruning out irrelevant test cases and redundant faults and enhancing the regression testing process for agile applications.</t>
  </si>
  <si>
    <t>Pub Year = 2019
Method = Prioritization</t>
  </si>
  <si>
    <t>OMTBS, CRS, TAS</t>
  </si>
  <si>
    <t>Test: 8–12
LOC: n.d.
Dominio: sistemi informativi simulati</t>
  </si>
  <si>
    <t>test similarity</t>
  </si>
  <si>
    <t>APFD, execution time</t>
  </si>
  <si>
    <t>S Biswas, A Bansal, P Mitra, R Mall</t>
  </si>
  <si>
    <t>IEEE Transactions on Reliability, 2022</t>
  </si>
  <si>
    <t>Fault-Based Regression Test Case Prioritization</t>
  </si>
  <si>
    <t>We propose a set of four novel fault-based regression test case prioritization (TCP) techniques for object-oriented programs. We seed bugs into a program to create large number of mutants. We execute each mutant with the originally designed test suite. From this, we record the number of mutants for which a test case fails. Based on this, we prioritize the test cases using four base fault-based prioritization techniques that we have proposed. Finally, we combine the results of our four base prioritizers using three ensemble methods. We have conducted experimental studies to determine the effectiveness of our proposed approaches. Our experimental results show that our proposed TCP techniques exhibit superior performance over related techniques.</t>
  </si>
  <si>
    <t>Tetris, Ant, Jasmine, GCT, Zen, Freemind, Empi, Redraw</t>
  </si>
  <si>
    <t>LOC: ~variabile
#Test: 100+
Dominio = OSS + educational</t>
  </si>
  <si>
    <t xml:space="preserve"> coverage (stmt, branch), FEP, fault history</t>
  </si>
  <si>
    <t>APFD, fault detection rate</t>
  </si>
  <si>
    <t>A Bajaj, A Abraham</t>
  </si>
  <si>
    <t>2022 IEEE Congress on Evolutionary Computation (CEC), 2022</t>
  </si>
  <si>
    <t>Test case prioritization and reduction using hybrid quantum-behaved particle swarm optimization</t>
  </si>
  <si>
    <t>Regression testing is an integral part of the software evolution and maintenance phase as it ensures that the modified software is working correctly after any upgrades. Test case prioritization and reduction minimize cost and effort needed for retesting by scheduling critical test cases before the less critical ones and removing redundant test cases. The criticality and redundancy of the test cases depend on several testing criteria. This paper empirically analyzed the effect of different testing criteria like code and fault coverage on the techniques' performance. This paper proposed a discrete Quantum-behaved particle swarm optimization (QPSO) for enhancing efficiency of test case prioritization. The algorithm is improved by replacing the random distribution with Gaussian probability to escape from the local optima. The evolution stagnation issue is further resolved by hybridizing it with genetic algorithm (QPSO-GA). In addition to prioritizing the test cases, the algorithm also reduces the test suite size through the test suite reduction approach. The experiments are conducted on different versions of three pro-grams from the open-source software infrastructure repository. The performance is compared with the average percentage of statement coverage, fault detection, and their combinations with the cost. Consequently, suite reduction, fault detection capability losses, and coverage loss percentage are also drawn for test suite reduction. The proposed algorithms outperformed the random search, ant colony optimization, differential evolution, GA, PSO, and adaptive PSO for all the evaluation metrics.</t>
  </si>
  <si>
    <t>Pub Year = 2022
Method = Prioritization, Minimization</t>
  </si>
  <si>
    <t>ATM, LMS, CMS</t>
  </si>
  <si>
    <t>LOC: n.d.
#Test = 21–35
Dominio = Sistemi informativi simulati</t>
  </si>
  <si>
    <t>coverage, diversity, redundancy, cost</t>
  </si>
  <si>
    <t>APFD, test set reduction, execution cost, diversity</t>
  </si>
  <si>
    <t>A Bajaj, A Abraham, S Ratnoo, LA Gabralla</t>
  </si>
  <si>
    <t>Sensors, 2022</t>
  </si>
  <si>
    <t>Test case prioritization, selection, and reduction using improved quantum-behaved particle swarm optimization</t>
  </si>
  <si>
    <t>The emerging areas of IoT and sensor networks bring lots of software applications on a daily basis. To keep up with the ever-changing expectations of clients and the competitive market, the software must be updated. The changes may cause unintended consequences, necessitating retesting, i.e., regression testing, before being released. The efficiency and efficacy of regression testing techniques can be improved with the use of optimization approaches. This paper proposes an improved quantum-behaved particle swarm optimization approach for regression testing. The algorithm is improved by employing a fix-up mechanism to perform perturbation for the combinatorial TCP problem. Second, the dynamic contraction-expansion coefficient is used to accelerate the convergence. It is followed by an adaptive test case selection strategy to choose the modification-revealing test cases. Finally, the superfluous test cases are removed. Furthermore, the algorithm’s robustness is analyzed for fault as well as statement coverage. The empirical results reveal that the proposed algorithm performs better than the Genetic Algorithm, Bat Algorithm, Grey Wolf Optimization, Particle Swarm Optimization and its variants for prioritizing test cases. The findings show that inclusivity, test selection percentage and cost reduction percentages are higher in the case of fault coverage compared to statement coverage but at the cost of high fault detection loss (approx. 7%) at the test case reduction stage.</t>
  </si>
  <si>
    <t>Pub Year: 2022
Method: Prioritization</t>
  </si>
  <si>
    <t>Smart Irrigation System</t>
  </si>
  <si>
    <t>Domain = Cyber-Physical System / IoT
#Test Cases = 20
LOC = 500+</t>
  </si>
  <si>
    <t>Requirement priority, Test execution time, Dynamic re-ranking feedback</t>
  </si>
  <si>
    <t>APFD, AET</t>
  </si>
  <si>
    <t>R Mamata, A Azim, R Liscano, K Smith, YK Chang, G Seferi, Q Tauseef</t>
  </si>
  <si>
    <t>2023 IEEE/ACM International Conference on Automation of Software Test (AST)</t>
  </si>
  <si>
    <t>Test case prioritization using transfer learning in continuous integration environments</t>
  </si>
  <si>
    <t>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t>
  </si>
  <si>
    <t>Pub Year: 2023
Method: Prioritization</t>
  </si>
  <si>
    <t>commons-math, commons-lang, commons-io, commons-codec, joda-time, mockito</t>
  </si>
  <si>
    <t>Domain = Open-source Java libraries
#Test Cases: tra 300 e 10,000+
LOC: tra 10,000 e 150,000</t>
  </si>
  <si>
    <t>Cost-Aware APFDc, nDCG, F1-score, Execution cost, Training time / Inference time</t>
  </si>
  <si>
    <t>J Zhang, Y Liu, M Gligoric, O Legunsen, A Shi</t>
  </si>
  <si>
    <t>AST '22: Proceedings of the 3rd ACM/IEEE International Conference on Automation of Software Test</t>
  </si>
  <si>
    <t>Comparing and combining analysis-based and learning-based regression test selection</t>
  </si>
  <si>
    <t>Regression testing---rerunning tests on each code version to detect newly-broken functionality---is important and widely practiced. But, regression testing is costly due to the large number of tests and the high frequency of code changes. Regression test selection (RTS) optimizes regression testing by only rerunning a subset of tests that can be affected by changes. Researchers showed that RTS based on program analysis can save substantial testing time for (medium-sized) open-source projects. Practitioners also showed that RTS based on machine learning (ML) works well on very large code repositories, e.g., in Facebook's monorepository. We combine analysis-based RTS and ML-based RTS by using the latter to choose a subset of tests selected by the former. We first train several novel ML models to learn the impact of code changes on test outcomes using a training dataset that we obtain via mutation analysis. Then, we evaluate the benefits of combining ML models with analysis-based RTS on 10 projects, compared with using each technique alone. Combining ML-based RTS with two analysis-based RTS techniques-Ekstazi and STARTS-selects 25.34% and 21.44% fewer tests, respectively.</t>
  </si>
  <si>
    <t>Human-based, Distribution-based</t>
  </si>
  <si>
    <t>Time, Math, Lang, Mockito, Closure</t>
  </si>
  <si>
    <t>Domain = Java Open-Source Libraries / Applications
#Test Cases = 400–2000
LOC = n/d</t>
  </si>
  <si>
    <t>Test method name, TF-IDF vectorization, code coverage information, execution time, flaky test detection, cosine similarity,</t>
  </si>
  <si>
    <t xml:space="preserve">APFD,  APFDc,  Effectiveness on flaky tests, Execution time </t>
  </si>
  <si>
    <t>M Nazir, A Mehmood, W Aslam, Y Park, GS Choi, I Ashraf</t>
  </si>
  <si>
    <t>IEEE Access, 2023</t>
  </si>
  <si>
    <t>A multi-goal particle swarm optimizer for test case prioritization</t>
  </si>
  <si>
    <t>Regression testing is carried out to test the updated supply code within the constraints of time and sources. Since it is very difficult to run all the updated source code every time, test case prioritization is needed to decrease the fee of regression testing. Various methodologies including extensions of white box and black box prioritization, have been presented considering the prioritization of test instances. In this context, the employment of particle swarm optimization (PSO) is usually recommended for test case prioritization. Single test case prioritization focuses to order test cases to maximize objectives like fault detection rate, execution time, etc. Regression testing for single-objective test suite prioritization can become challenging due to its longer execution time. However, test case prioritization for multi-objective functions is a complex and time-consuming task. A check suite may be organized in a certain order by an appropriate technique, subsequently permitting the detection of flaws as early as possible. Multi-goal particle swarm optimization (MOPSO) is used for case prioritization in regression testing. The purpose of MOPSO in this context is to organize the test suite in a specific order that maximizes fault coverage, provides sufficient coverage of test cases, and minimizes execution time. This study proposes an approach based on MOPSO that focuses on maximum fault coverage, most circumstance insurance, and minimal execution time. Experiments are performed using the average percentage of faults detected (APFD) to evaluate its performance. Performance analysis using APFD consisting of no order, opposite order, and random order indicates that the MOPSO surpasses all the previous techniques and obtains an 85% fault coverage. Moreover, MOPSO is better in terms of execution time, fault detection fee, and early detection capabilities.</t>
  </si>
  <si>
    <t xml:space="preserve">FreeMind , jEdit </t>
  </si>
  <si>
    <t>Domain = Java Desktop Applications
#Test Cases = 1,600 (FreeMind), 3,000 (jEdit)
LOC = 35K (FreeMind), 55K (jEdit)</t>
  </si>
  <si>
    <t>Call graph information, statement coverage, execution time, fault detection history, test case dissimilarity</t>
  </si>
  <si>
    <t>APFD, APFDc. Mean Fault Detection Time. F1-score (per cluster quality). Pareto dominance comparisons. Wilcoxon signed-rank test</t>
  </si>
  <si>
    <t>R Wuersching, D Elsner, F Leinen, A Pretschner, G Grueneissl, T Neumeyr, T Vosseler</t>
  </si>
  <si>
    <t>2023 IEEE Conference on Software Testing, Verification and Validation (ICST)</t>
  </si>
  <si>
    <t>Severity-aware prioritization of system-level regression tests in automotive software</t>
  </si>
  <si>
    <t>In automotive software engineering, system-level regression testing is crucial to ensure proper integration of often- times safety-critical components. Due to the inherent complexity of such systems and components, testing is commonly performed manually and in a black-box manner, which is particularly costly and leads to slow feedback cycles between testers and developers. Regression Test Prioritization (RTP) aims to reduce feedback time by ordering tests to reveal faults earlier during the testing process. However, most prior RTP research does not incorporate varying fault severity, which must be taken into account when evaluating and designing appropriate RTP approaches for safety-critical automotive software systems. In this work, we present a case study at our industry partner MAN, a leading international provider of commercial vehicles. We design and instantiate a domain-specific, severity-aware RTP assessment model and comparatively assess state-of-the-art RTP approaches. Our results indicate that simple and partly well- known heuristics based on test history and test costs have the best cost-effectiveness, achieving between 85% and 90% of the maximum possible feedback time reduction. On the other hand, search-based and machine-learning-based RTP approaches do not perform better, especially if available test history is sparse.</t>
  </si>
  <si>
    <t>Software embedded automotive reale (fornito da azienda partner)</t>
  </si>
  <si>
    <t>Domain = Embedded Automotive Systems
#Test Cases = 1,178
LOC = n/d</t>
  </si>
  <si>
    <t>Test execution time, faultsAPFD-S</t>
  </si>
  <si>
    <t>Time to Risk Detection, Number of High-severity Faults Detected Early, Execution time of prioritization method</t>
  </si>
  <si>
    <t xml:space="preserve">Nauman bin Ali, Emelie Engström, Masoumeh Taromirad, Mohammad Reza Mousavi, Nasir Mehmood Minhas, Daniel Helgesson, Sebastian Kunze &amp; Mahsa Varshosaz </t>
  </si>
  <si>
    <t>Empirical Software Engineering, 2019</t>
  </si>
  <si>
    <t>On the search for industry-relevant regression testing research</t>
  </si>
  <si>
    <t>Regression testing is a means to assure that a change in the software, or its execution environment, does not introduce new defects. It involves the expensive undertaking of rerunning test cases. Several techniques have been proposed to reduce the number of test cases to execute in regression testing, however, there is no research on how to assess industrial relevance and applicability of such techniques. We conducted a systematic literature review with the following two goals: firstly, to enable researchers to design and present regression testing research with a focus on industrial relevance and applicability and secondly, to facilitate the industrial adoption of such research by addressing the attributes of concern from the practitioners’ perspective. Using a reference-based search approach, we identified 1068 papers on regression testing. We then reduced the scope to only include papers with explicit discussions about relevance and applicability (i.e. mainly studies involving industrial stakeholders). Uniquely in this literature review, practitioners were consulted at several steps to increase the likelihood of achieving our aim of identifying factors important for relevance and applicability. We have summarised the results of these consultations and an analysis of the literature in three taxonomies, which capture aspects of industrial-relevance regarding the regression testing techniques. Based on these taxonomies, we mapped 38 papers reporting the evaluation of 26 regression testing techniques in industrial settings.</t>
  </si>
  <si>
    <t>Segnato come PS ma é una SLR</t>
  </si>
  <si>
    <t>E Ufuktepe, T Tuglular</t>
  </si>
  <si>
    <t>Application of the law of minimum and dissimilarity analysis to Regression Test Case Prioritization</t>
  </si>
  <si>
    <t>Regression testing is one of the most expensive processes in testing. Prioritizing test cases in regression testing is critical for the goal of detecting the faults sooner within a large set of test cases. We propose a test case prioritization (TCP) technique for regression testing called LoM-Score inspired by the Law of Minimum (LoM) from biology. This technique calculates the impact probabilities of methods calculated by change impact analysis with forward slicing and orders test cases according to LoM. However, this ordering doesn’t consider the possibility that consecutive test cases may be covering the same methods repeatedly. Thereby, such ordering can delay the time of revealing faults that exist in other methods. To solve this problem, we enhance the LoM-Score TCP technique with an adaptive approach, namely with a dissimilarity-based coordinate analysis approach. The dissimilarity-based coordinate analysis uses Jaccard Similarity for calculating the similarity coefficients between test cases in terms of covered methods and the enhanced technique called Dissimilarity-LoM-Score (Dis-LoM-Score) applies a penalty with respective on the ordered test cases. We performed our case study on 10 open-source Java projects from Defects4J, which is a dataset of real bugs and an infrastructure for controlled experiments provided for software engineering researchers. Then, we hand-seeded multiple mutants generated by Major, which is a mutation testing tool. Then we compared our TCP techniques LoM-Score and Dis-LoM-Score with the four traditional TCP techniques based on their Average Percentage of Faults Detected (APFD) results.</t>
  </si>
  <si>
    <t>Pub Year = 2023
Method = Prioritization</t>
  </si>
  <si>
    <t>ATM, Banking, Reservation</t>
  </si>
  <si>
    <t>Test: 8–10
LOC: n.d.
Dominio: Simulated transaction systems</t>
  </si>
  <si>
    <t>input similarity, input size, diversity heuristics</t>
  </si>
  <si>
    <t>execution time, redundancy rate</t>
  </si>
  <si>
    <t>S Nayak, C Kumar, S Tripathi, N Mohanty, V Baral</t>
  </si>
  <si>
    <t>Soft Computing, 2021</t>
  </si>
  <si>
    <t>Regression test optimization and prioritization using Honey Bee optimization algorithm with fuzzy rule base</t>
  </si>
  <si>
    <t>Regression testing is a maintenance level activity performed on a modified program to instill confidence in the software’s reliability. Prioritization of test case arranges the regression test suite to detect the faults earlier in the testing process. The test cases necessary for validating the recent changes and finding the maximum faults in minimum time are selected. In this manuscript, an optimization algorithm (Bee Algorithm) based on the intelligent foraging behavior of honey bee swarm has been proposed that can enhance the rate of fault detection in test case prioritization. The bee algorithm, along with the fuzzy rule base, reduces the test cases’ volume by selecting the test cases from the pre-existing test suite. The proposed algorithm developed for enhancing the fault detection rate in minimum time is inspired by the behavior of two types of worker bees, namely scout bees and forager bees. These worker bees are responsible for the maintenance, progress, and growth of the colony. The proposed approach is implemented on two projects. The prioritization result is quantified by using the average percentage of fault detection (APFD) metric. Compared with other existing prioritization techniques like no prioritization, reverse prioritization, random prioritization, and previous work, the proposed algorithm outperforms all in fault detection rate. The effectiveness of the proposed algorithm is represented by using the APFD graphs and charts.</t>
  </si>
  <si>
    <t>Banking, ATM</t>
  </si>
  <si>
    <t>#Test: 30–40
Dominio = simulato (IS)</t>
  </si>
  <si>
    <t>requirement similarity, requirement–test mapping, functional coverage</t>
  </si>
  <si>
    <t xml:space="preserve">Soumen Nayak, Chiranjeev Kumar &amp; Sachin Tripathi </t>
  </si>
  <si>
    <t>Soft Computing</t>
  </si>
  <si>
    <t>Analytic hierarchy process-based regression test case prioritization technique enhancing the fault detection rate</t>
  </si>
  <si>
    <t>Regression testing is a testing method conducted to ensure that improvements do not affect the software’s current behavior. Test cases play a significant role in software testing activities since it detects faults in the software. The selection of test cases for execution based on the priority is a considerable decision-making step since testing needs to be carried out with limited computing resources like cost, effort, and time. Prioritized selection of test cases involves considering specific test case parameters or criteria; prioritizing test cases can be conceived as a multi-criteria decision-making problem. In this paper, using the Analytic Hierarchy Process (AHP) method, we suggest an approach for prioritizing the selection of the test cases. AHP provides a rational framework for structuring a decision-making problem. It is used to determine the priority of a set of criteria and to calculate the consistency ratio of those criteria using pair-wise comparisons of various measures. Using a new priority regression test algorithm proposed in this study, regression test prioritization is transformed into a multi-criteria decision-making problem. The suggested strategy has a higher Average Percentage of Faults Detected (APFD) value when many determinants are taken into account. The experimental results indicate that our proposed prioritization approach would improve the probability that faults will be detected early and enhance performance compared to other prioritization strategies.</t>
  </si>
  <si>
    <t>Three-objective</t>
  </si>
  <si>
    <t>dataset sintetici</t>
  </si>
  <si>
    <t>Domain = Synthetic
#Test Cases: da 10 a 100
LOC: n/d</t>
  </si>
  <si>
    <t>Test–requirement coverage matrix, Requirement weights, Test redundancy levels, Execution cost of test cases, Similarity between test cases, Fitness score of test case ordering</t>
  </si>
  <si>
    <t>APFD, execution time, redundancy metrics</t>
  </si>
  <si>
    <t>Israr Ghani; Wan Mohd Nasir Wan Kadir; Adila Firdaus Arbain; Imran Ghani</t>
  </si>
  <si>
    <t>IEEE Access</t>
  </si>
  <si>
    <t>A Detection-Based Multi-Objective Test Case Selection Algorithm to Improve Time and Efficiency in Regression Testing</t>
  </si>
  <si>
    <t>Regression testing is carried out to ensure that changes or enhancements are not impacting previous working software. Deciding how much retesting is required after modifications, bug fixes or before product deployments are difficult. Therefore, Test Case Selection (TCS) select the satisfactory subset of modified test cases from already executed test suites. The testing primary concerns in TCS for regression testing are efficiency (i.e., coverage, fault detection ability, redundancy) and time. The first challenge in TCS concerns the efficiency of multi-objective test case selection. The second challenge is to improve the execution time to detect the changes in a test suite, which makes it impractical to use these efficiency measures as a single goal for TCS. To overcome these challenges, there is a need to introduce an efficient detection-based multi-objective framework to improve the Time and efficiency of TCS. A multi-objective advanced and efficient regression test case selection (ARTeCS) framework is devised to improve the time performance and efficiency of a given TCS objective relative to the other TCS approaches. An algorithm to detect the changes in test cases using multiple TCS objectives. This comparison found that the enhanced ARTeCS algorithm improves redundancy efficiency by 44.02%. The selection technique showed ARTeCS improved the modified change detection by 43.00%, whereas the Hybrid Whale Optimization Algorithm (HWOA) stated 23% and ACO showed 33% only for selected test cases. Regarding average for fault detection, ACO scores 21%, HWOA scores 11%, and ARTeCS scores 31.08% with total execution times of 12, 21 and 09 seconds, respectively. In conclusion, the multiple-objective ARTeCS framework with four test suite selection parameters is more efficient than the existing multi-objective selection framework.</t>
  </si>
  <si>
    <t>Pub Year: 2024
Method: Selection</t>
  </si>
  <si>
    <t>Banking Management System, Library Management System, Online Voting System</t>
  </si>
  <si>
    <t>Domain = Business / Web Applications
#Test Cases: 25-30
LOC: 1200-1500</t>
  </si>
  <si>
    <t>Faults, execution time</t>
  </si>
  <si>
    <t>F-measure, Time saving percentage, Detection effectiveness</t>
  </si>
  <si>
    <t>Christoph Laaber; Tao Yue; Shaukat Ali</t>
  </si>
  <si>
    <t>Evaluating Search-Based Software Microbenchmark Prioritization</t>
  </si>
  <si>
    <t>Ensuring that software performance does not degrade after a code change is paramount. A solution is to regularly execute software microbenchmarks, a performance testing technique similar to (functional) unit tests, which, however, often becomes infeasible due to extensive runtimes. To address that challenge, research has investigated regression testing techniques, such as test case prioritization (TCP), which reorder the execution within a microbenchmark suite to detect larger performance changes sooner. Such techniques are either designed for unit tests and perform sub-par on microbenchmarks or require complex performance models, drastically reducing their potential application. In this paper, we empirically evaluate single- and multi-objective search-based microbenchmark prioritization techniques to understand whether they are more effective and efficient than greedy, coverage-based techniques. For this, we devise three search objectives, i.e., coverage to maximize, coverage overlap to minimize, and historical performance change detection to maximize. We find that search algorithms (SAs) are only competitive with but do not outperform the best greedy, coverage-based baselines. However, a simple greedy technique utilizing solely the performance change history (without coverage information) is equally or more effective than the best coverage-based techniques while being considerably more efficient, with a runtime overhead of less than 1%. These results show that simple, non-coverage-based techniques are a better fit for microbenchmarks than complex coverage-based techniques.</t>
  </si>
  <si>
    <t>Commons-math, Commons-io, Apache Avro, H2, etc</t>
  </si>
  <si>
    <t>Domain = Java Microbenchmark Suites (JMH-based)
#Test Cases = 267</t>
  </si>
  <si>
    <t>Execution time, regression sensitivity,historical performance data, benchmark metadata, diversity metrics, cost models</t>
  </si>
  <si>
    <t>Performance Degradation Detection Rate, Execution Cost, Utility Score, Pareto Front, Wilcoxon signed-rank test</t>
  </si>
  <si>
    <t xml:space="preserve">Bo Jiang,W.K. Chan </t>
  </si>
  <si>
    <t>Input-based adaptive randomized test case prioritization: A local beam search approach</t>
  </si>
  <si>
    <t>Test case prioritization assigns the execution priorities of the test cases in a given test suite. Many existing test case prioritization techniques assume the full-fledged availability of code coverage data, fault history, or test specification, which are seldom well-maintained in real-world software development projects. This paper proposes a novel family of input-based local-beam-search adaptive-randomized techniques. They make adaptive tree-based randomized explorations with a randomized candidate test set strategy to even out the search space explorations among the branches of the exploration trees constructed by the test inputs in the test suite. We report a validation experiment on a suite of four medium-size benchmarks. The results show that our techniques achieve either higher APFD values than or the same mean APFD values as the existing code-coverage-based greedy or search-based prioritization techniques, including Genetic, Greedy and ART, in both our controlled experiment and case study. Our techniques are also significantly more efficient than the Genetic and Greedy, but are less efficient than ART.</t>
  </si>
  <si>
    <t>Pub Year: 2015
Method: Prioritization</t>
  </si>
  <si>
    <t>JTopas, XML-Security, Ant, JMeter, JParsec, JFreeChart</t>
  </si>
  <si>
    <t>Domain = Java Open-Source Libraries / Tools
#Test Cases = 372–2,100
LOC = 7K–96K</t>
  </si>
  <si>
    <t>Code coverage, mutation faults, test execution time, fault detection history, test diversity, APFD score, test length</t>
  </si>
  <si>
    <t>APFD, Mutation Score, Test Suite Size, Execution Time, Wilcoxon signed-rank test, Effect size analysis</t>
  </si>
  <si>
    <t> </t>
  </si>
  <si>
    <t>Shi, Tingting and Xiao, Lei and Wu, Keshou</t>
  </si>
  <si>
    <t>2020 IEEE 7th International Conference on Data Science and Advanced Analytics (DSAA)</t>
  </si>
  <si>
    <t>Reinforcement Learning Based Test Case Prioritization for Enhancing the Security of Software</t>
  </si>
  <si>
    <t>663-672</t>
  </si>
  <si>
    <t>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</si>
  <si>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Testing;Reinforcement learning;Sorting;Software;History;Erbium;Security;continuous integration;reinforcement learning;fault detection rate;reward function;historical execution information;multi-objective sorting</t>
  </si>
  <si>
    <t>10.1109/DSAA49011.2020.00076</t>
  </si>
  <si>
    <t>reinforcement learning based test case prioritization for enhancing the security of software 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</si>
  <si>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1. 2020; 2. Prioritization</t>
  </si>
  <si>
    <t>ABB Robotics Norway2, Google Open Source Data Set</t>
  </si>
  <si>
    <t>Industrial datasets. The datasets have 114, 2086, and 5555 test cases, respectively.</t>
  </si>
  <si>
    <t>Previous failure history</t>
  </si>
  <si>
    <t>Normalized APFD</t>
  </si>
  <si>
    <t>Silva, Dennis Sávio and Rabelo, Ricardo and Neto, Pedro Santos and Britto, Ricardo and Oliveira, Pedro Almir</t>
  </si>
  <si>
    <t>2019 IEEE International Conference on Systems, Man and Cybernetics (SMC)</t>
  </si>
  <si>
    <t>A Test Case Prioritization Approach Based on Software Component Metrics</t>
  </si>
  <si>
    <t>2939-2945</t>
  </si>
  <si>
    <t>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</si>
  <si>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Fault detection;Testing;Software;Fuzzy logic;Measurement;History;Fuzzy sets</t>
  </si>
  <si>
    <t>10.1109/SMC.2019.8914670</t>
  </si>
  <si>
    <t>2577-1655</t>
  </si>
  <si>
    <t>a test case prioritization approach based on software component metrics 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</si>
  <si>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1. 2019; 2. Prioritization</t>
  </si>
  <si>
    <t>Single</t>
  </si>
  <si>
    <t>C program, 35k test cases, 8k LOC</t>
  </si>
  <si>
    <t>Software component metrics, coverage, fault detection history, execution time of the test cases</t>
  </si>
  <si>
    <t>Kwon, Jung-Hyun and Ko, In-Young</t>
  </si>
  <si>
    <t>Cost-Effective Regression Testing Using Bloom Filters in Continuous Integration Development Environments</t>
  </si>
  <si>
    <t>160-168</t>
  </si>
  <si>
    <t>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</si>
  <si>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Testing;Microsoft Windows;Google;Instruments;History;Fault detection</t>
  </si>
  <si>
    <t>10.1109/APSEC.2017.22</t>
  </si>
  <si>
    <t>cost-effective regression testing using bloom filters in continuous integration development environments 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</si>
  <si>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1. 2017; 2. Selection and Prioritization</t>
  </si>
  <si>
    <t>Google Open Source Data Set</t>
  </si>
  <si>
    <t>https://code.google.
com/p/google-shared-dataset-of-test-suite-results</t>
  </si>
  <si>
    <t>Failure-detection efficiency</t>
  </si>
  <si>
    <t>Kwon, Jung-Hyun and Ko, In-Young and Rothermel, Gregg</t>
  </si>
  <si>
    <t>2018 IEEE/ACM 40th International Conference on Software Engineering (ICSE)</t>
  </si>
  <si>
    <t>Prioritizing Browser Environments for Web Application Test Execution</t>
  </si>
  <si>
    <t>468-479</t>
  </si>
  <si>
    <t>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</si>
  <si>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Browsers;Testing;History;Schedules;Optimal scheduling;Operating systems;Production;Web application testing;Regression testing;Browser environments</t>
  </si>
  <si>
    <t>10.1145/3180155.3180244</t>
  </si>
  <si>
    <t>1558-1225</t>
  </si>
  <si>
    <t>prioritizing browser environments for web application test execution 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</si>
  <si>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We should have skipped this paper in the quality appraisal phase, as it is not related.</t>
  </si>
  <si>
    <t>Torres, Wesley N. M. and Alves, Everton L. G. and Machado, Patrícia D. L.</t>
  </si>
  <si>
    <t>2019 IEEE 43rd Annual Computer Software and Applications Conference (COMPSAC)</t>
  </si>
  <si>
    <t>An Empirical Study on the Spreading of Fault Revealing Test Cases in Prioritized Suites</t>
  </si>
  <si>
    <t>129-138</t>
  </si>
  <si>
    <t>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</si>
  <si>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Measurement;Fault detection;Software;Testing;Mathematical model;Guidelines;Conferences;prioritization;test case;metric;evaluation</t>
  </si>
  <si>
    <t>10.1109/COMPSAC.2019.00027</t>
  </si>
  <si>
    <t>Jul</t>
  </si>
  <si>
    <t>an empirical study on the spreading of fault revealing test cases in prioritized suites 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</si>
  <si>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https://dl.acm.org/doi/abs/10.1145/2884781.2884874</t>
  </si>
  <si>
    <t>8 opensource java projects ranging between 1k and 67k tests and 7 and 5k tests</t>
  </si>
  <si>
    <t>Statement coverage, method coverage, branch coverage</t>
  </si>
  <si>
    <t>APFD and M-Spreading</t>
  </si>
  <si>
    <t>Guo, Shengjian and Kusano, Markus and Wang, Chao</t>
  </si>
  <si>
    <t>2016 31st IEEE/ACM International Conference on Automated Software Engineering (ASE)</t>
  </si>
  <si>
    <t>Conc-iSE: Incremental symbolic execution of concurrent software</t>
  </si>
  <si>
    <t>531-542</t>
  </si>
  <si>
    <t>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</si>
  <si>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Software;Testing;Concurrent computing;Algorithm design and analysis;Software algorithms;Computer bugs;Programming;Symbolic execution;Concurrency;Partial order reduction;Weakest precondition</t>
  </si>
  <si>
    <t>conc-ise: incremental symbolic execution of concurrent software 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</si>
  <si>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10.1145/3019612.3019831</t>
  </si>
  <si>
    <t>inproceedings</t>
  </si>
  <si>
    <t>Kim, Jeongho and Jeong, Hohyeon and Lee, Eunseok</t>
  </si>
  <si>
    <t>Proceedings of the Symposium on Applied Computing</t>
  </si>
  <si>
    <t>Failure history data-based test case prioritization for effective regression test</t>
  </si>
  <si>
    <t>1409–1415</t>
  </si>
  <si>
    <t>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</si>
  <si>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test case prioritization, regression test, flipped result of test case data, failure history data, failed test case history data, correlation data, continuous integration environments</t>
  </si>
  <si>
    <t>Association for Computing Machinery</t>
  </si>
  <si>
    <t>New York, NY, USA</t>
  </si>
  <si>
    <t>https://doi.org/10.1145/3019612.3019831</t>
  </si>
  <si>
    <t>Marrakech, Morocco</t>
  </si>
  <si>
    <t>SAC '17</t>
  </si>
  <si>
    <t>failure history data-based test case prioritization for effective regression test 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</si>
  <si>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1. 2017; 2. Prioritization</t>
  </si>
  <si>
    <t>Greedy algorithm</t>
  </si>
  <si>
    <t>Two Apache projects: Tomcat and Camel</t>
  </si>
  <si>
    <t>205k and 562k LOC, 624 and 3970 test cases</t>
  </si>
  <si>
    <t>MUKHERJEE20211041</t>
  </si>
  <si>
    <t>article</t>
  </si>
  <si>
    <t>Rajendrani Mukherjee and K. Sridhar Patnaik</t>
  </si>
  <si>
    <t>A survey on different approaches for software test case prioritization</t>
  </si>
  <si>
    <t>1041-1054</t>
  </si>
  <si>
    <t>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</si>
  <si>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Regression, Prioritization, Techniques, Program, Fault, Coverage</t>
  </si>
  <si>
    <t>https://doi.org/10.1016/j.jksuci.2018.09.005</t>
  </si>
  <si>
    <t>1319-1578</t>
  </si>
  <si>
    <t>Journal of King Saud University - Computer and Information Sciences</t>
  </si>
  <si>
    <t>https://www.sciencedirect.com/science/article/pii/S1319157818303616</t>
  </si>
  <si>
    <t>a survey on different approaches for software test case prioritization 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</si>
  <si>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1. 2021; 2. Prioritization</t>
  </si>
  <si>
    <t>PRADHAN201986</t>
  </si>
  <si>
    <t>Dipesh Pradhan and Shuai Wang and Shaukat Ali and Tao Yue and Marius Liaaen</t>
  </si>
  <si>
    <t>Employing rule mining and multi-objective search for dynamic test case prioritization</t>
  </si>
  <si>
    <t>86-104</t>
  </si>
  <si>
    <t>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</si>
  <si>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Multi-objective optimization, Rule mining, Dynamic test case prioritization, Search, Black-box regression testing</t>
  </si>
  <si>
    <t>https://doi.org/10.1016/j.jss.2019.03.064</t>
  </si>
  <si>
    <t>0164-1212</t>
  </si>
  <si>
    <t>https://www.sciencedirect.com/science/article/pii/S016412121930072X</t>
  </si>
  <si>
    <t>employing rule mining and multi-objective search for dynamic test case prioritization 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</si>
  <si>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Multi</t>
  </si>
  <si>
    <t>Cisco datasets related to VCS products, ABB Robotics Norway2, Google Open Source Data Set</t>
  </si>
  <si>
    <t>Industrial dataset. The datasets span from 60 to 5555 test cases, respectively.</t>
  </si>
  <si>
    <t>Fault detection capability and test reliance score, estimated execution time</t>
  </si>
  <si>
    <t>Average Percentage of Fault Detected per Cost</t>
  </si>
  <si>
    <t>CHEN2018107</t>
  </si>
  <si>
    <t>Jinfu Chen and Lili Zhu and Tsong Yueh Chen and Dave Towey and Fei-Ching Kuo and Rubing Huang and Yuchi Guo</t>
  </si>
  <si>
    <t>Test case prioritization for object-oriented software: An adaptive random sequence approach based on clustering</t>
  </si>
  <si>
    <t>107-125</t>
  </si>
  <si>
    <t>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</si>
  <si>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Object-oriented software, Adaptive random sequence, Test cases prioritization, Cluster analysis, Test cases selection</t>
  </si>
  <si>
    <t>https://doi.org/10.1016/j.jss.2017.09.031</t>
  </si>
  <si>
    <t>https://www.sciencedirect.com/science/article/pii/S0164121217302170</t>
  </si>
  <si>
    <t>test case prioritization for object-oriented software: an adaptive random sequence approach based on clustering 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</si>
  <si>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Open source dataset</t>
  </si>
  <si>
    <t xml:space="preserve">120 to 406k lines of code. </t>
  </si>
  <si>
    <t>Objects and methods</t>
  </si>
  <si>
    <t>Number of the test cases executed before finding the first fault; number of distinct faults detected by a specific number of test cases; APFD</t>
  </si>
  <si>
    <t>IQBAL20226324</t>
  </si>
  <si>
    <t>Saqib Iqbal and Issam Al-Azzoni</t>
  </si>
  <si>
    <t>Test case prioritization for model transformations</t>
  </si>
  <si>
    <t>8, Part B</t>
  </si>
  <si>
    <t>6324-6338</t>
  </si>
  <si>
    <t>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</si>
  <si>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Model transformations, Model-driven engineering, Regression testing, Test case prioritization</t>
  </si>
  <si>
    <t>https://doi.org/10.1016/j.jksuci.2021.08.011</t>
  </si>
  <si>
    <t>https://www.sciencedirect.com/science/article/pii/S1319157821002147</t>
  </si>
  <si>
    <t>test case prioritization for model transformations 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</si>
  <si>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BibTeX2DocBook, UML2ER, CPL2SPL, Ecore2Maude</t>
  </si>
  <si>
    <t>53 to 1k LOC, 100 test input models</t>
  </si>
  <si>
    <t>Rule coverage</t>
  </si>
  <si>
    <t>CHI2020110539</t>
  </si>
  <si>
    <t>Jianlei Chi and Yu Qu and Qinghua Zheng and Zijiang Yang and Wuxia Jin and Di Cui and Ting Liu</t>
  </si>
  <si>
    <t>Relation-based test case prioritization for regression testing</t>
  </si>
  <si>
    <t>110539</t>
  </si>
  <si>
    <t>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</si>
  <si>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Software testing, Test case prioritization, Dynamic call sequence</t>
  </si>
  <si>
    <t>https://doi.org/10.1016/j.jss.2020.110539</t>
  </si>
  <si>
    <t>https://www.sciencedirect.com/science/article/pii/S0164121220300212</t>
  </si>
  <si>
    <t>relation-based test case prioritization for regression testing 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</si>
  <si>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1.2020; 2. Prioritization</t>
  </si>
  <si>
    <t>26k to 140k LOC, 137 to 510 test cases</t>
  </si>
  <si>
    <t>Functions coverage, method call sequence, statement coverage, branch coverage</t>
  </si>
  <si>
    <t>ALREFAI2025103343</t>
  </si>
  <si>
    <t>Mohammed Al-Refai and Mahmoud M. Hammad</t>
  </si>
  <si>
    <t>Component-based architectural regression test selection for modularized software systems</t>
  </si>
  <si>
    <t>103343</t>
  </si>
  <si>
    <t>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</si>
  <si>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Regression test selection, Static analysis, Component-based architecture, Java platform module system, Software architecture</t>
  </si>
  <si>
    <t>https://doi.org/10.1016/j.sysarc.2025.103343</t>
  </si>
  <si>
    <t>1383-7621</t>
  </si>
  <si>
    <t>Journal of Systems Architecture</t>
  </si>
  <si>
    <t>https://www.sciencedirect.com/science/article/pii/S1383762125000153</t>
  </si>
  <si>
    <t>component-based architectural regression test selection for modularized software systems 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</si>
  <si>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1. 2025; 2. Selection</t>
  </si>
  <si>
    <t>Graph-walk</t>
  </si>
  <si>
    <t>48 to 1099 classes, 26 to 485 test cases</t>
  </si>
  <si>
    <t>-</t>
  </si>
  <si>
    <t>Number of detected safety violations, precision of the detected safety violations, test suite reduction</t>
  </si>
  <si>
    <t>HUANG2020110712</t>
  </si>
  <si>
    <t>Rubing Huang and Quanjun Zhang and Dave Towey and Weifeng Sun and Jinfu Chen</t>
  </si>
  <si>
    <t>Regression test case prioritization by code combinations coverage</t>
  </si>
  <si>
    <t>110712</t>
  </si>
  <si>
    <t>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</si>
  <si>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Software testing, Regression testing, Test case prioritization, Code combinations coverage</t>
  </si>
  <si>
    <t>https://doi.org/10.1016/j.jss.2020.110712</t>
  </si>
  <si>
    <t>https://www.sciencedirect.com/science/article/pii/S0164121220301540</t>
  </si>
  <si>
    <t>regression test case prioritization by code combinations coverage 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</si>
  <si>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14 versions of four Java programs downloaded from the Software-artifact Infrastructure Repository</t>
  </si>
  <si>
    <t>1.89 to 58.34 KLOC, 78 to 500 test cases</t>
  </si>
  <si>
    <t>APFD, Average Percentage of Fault Detected per Cost</t>
  </si>
  <si>
    <t>ZHANG2022183</t>
  </si>
  <si>
    <t>Hanxiao Zhang and Yan-Fu Li</t>
  </si>
  <si>
    <t>Integrated optimization of test case selection and sequencing for reliability testing of the mainboard of Internet backbone routers</t>
  </si>
  <si>
    <t>183-194</t>
  </si>
  <si>
    <t>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</si>
  <si>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Reliability, Reliability testing plan, Test case selection, Test case sequencing, Branch-and-price</t>
  </si>
  <si>
    <t>https://doi.org/10.1016/j.ejor.2021.06.028</t>
  </si>
  <si>
    <t>0377-2217</t>
  </si>
  <si>
    <t>European Journal of Operational Research</t>
  </si>
  <si>
    <t>https://www.sciencedirect.com/science/article/pii/S0377221721005440</t>
  </si>
  <si>
    <t>integrated optimization of test case selection and sequencing for reliability testing of the mainboard of internet backbone routers 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</si>
  <si>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DOBSLAW2023111802</t>
  </si>
  <si>
    <t>Felix Dobslaw and Ruiyuan Wan and Yuechan Hao</t>
  </si>
  <si>
    <t>Generic and industrial scale many-criteria regression test selection</t>
  </si>
  <si>
    <t>111802</t>
  </si>
  <si>
    <t>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</si>
  <si>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Software testing, Regression testing, Test case selection, Industrial-scale optimization</t>
  </si>
  <si>
    <t>https://doi.org/10.1016/j.jss.2023.111802</t>
  </si>
  <si>
    <t>https://www.sciencedirect.com/science/article/pii/S0164121223001978</t>
  </si>
  <si>
    <t>generic and industrial scale many-criteria regression test selection 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</si>
  <si>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1. 2023; 2. Selection</t>
  </si>
  <si>
    <t>Two proprietary systems</t>
  </si>
  <si>
    <t>3k to 11k test cases</t>
  </si>
  <si>
    <t>Function coverage, test size, failure rate, several additonal coverages</t>
  </si>
  <si>
    <t>Hypervolume indicator</t>
  </si>
  <si>
    <t>ZHANG2022111419</t>
  </si>
  <si>
    <t>Quanjun Zhang and Chunrong Fang and Weisong Sun and Shengcheng Yu and Yutao Xu and Yulei Liu</t>
  </si>
  <si>
    <t>Test case prioritization using partial attention</t>
  </si>
  <si>
    <t>111419</t>
  </si>
  <si>
    <t>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</si>
  <si>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Software testing, Regression testing, Test case prioritization, Greedy algorithm</t>
  </si>
  <si>
    <t>https://doi.org/10.1016/j.jss.2022.111419</t>
  </si>
  <si>
    <t>https://www.sciencedirect.com/science/article/pii/S0164121222001285</t>
  </si>
  <si>
    <t>test case prioritization using partial attention 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</si>
  <si>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1.2022; 2. Prioritization</t>
  </si>
  <si>
    <t>19 versions of four Java programs downloaded from the Software-artifact Infrastructure Repository</t>
  </si>
  <si>
    <t>1.89 to 80.40 KLOC, 78 to 500 test cases</t>
  </si>
  <si>
    <t>Statement, branch, and method coverage</t>
  </si>
  <si>
    <t>M. Khatibsyarbini, M. A. Isa, D. N. Jawawi and R. Tumeng</t>
  </si>
  <si>
    <t>Information and Software Technology</t>
  </si>
  <si>
    <t>Test case prioritization approaches in regression testing: A systematic literature review</t>
  </si>
  <si>
    <t>Software quality can be assured by going through software testing process. However, software testing phase is an expensive process as it consumes a longer time. By scheduling test cases execution order through a prioritization approach, software testing efficiency can be improved especially during regression testing. It is a notable step to be taken in constructing important software testing environment so that a system's commercial value can increase. The main idea of this review is to examine and classify the current test case prioritization approaches based on the articulated research questions. Set of search keywords with appropriate repositories were utilized to extract most important studies that fulfill all the criteria defined and classified under journal, conference paper, symposiums and workshops categories. 69 primary studies were nominated from the review strategy. There were 40 journal articles, 21 conference papers, three workshop articles, and five symposium articles collected from the primary studies. As for the result, it can be said that TCP approaches are still broadly open for improvements. Each approach in TCP has specified potential values, advantages, and limitation. Additionally, we found that variations in the starting point of TCP process among the approaches provide a different timeline and benefit to project manager to choose which approaches suite with the project schedule and available resources. Test case prioritization has already been considerably discussed in the software testing domain. However, it is commonly learned that there are quite a number of existing prioritization techniques that can still be improved especially in data used and execution process for each approach.</t>
  </si>
  <si>
    <t>1. 2018; 2. Prioritization</t>
  </si>
  <si>
    <t>S Wang, J Nam, L Tan</t>
  </si>
  <si>
    <t>ESEC/FSE 2017: Proceedings of the 2017 11th Joint Meeting on Foundations of Software Engineering</t>
  </si>
  <si>
    <t>QTEP: Quality-aware test case prioritization</t>
  </si>
  <si>
    <t>Test case prioritization (TCP) is a practical activity in software testing for exposing faults earlier. Researchers have proposed many TCP techniques to reorder test cases. Among them, coverage-based TCPs have been widely investigated. Specifically, coverage-based TCP approaches leverage coverage information between source code and test cases, i.e., static code coverage and dynamic code coverage, to schedule test cases. Existing coverage-based TCP techniques mainly focus on maximizing coverage while often do not consider the likely distribution of faults in source code. However, software faults are not often equally distributed in source code, e.g., around 80% faults are located in about 20% source code. Intuitively, test cases that cover the faulty source code should have higher priorities, since they are more likely to find faults.
In this paper, we present a quality-aware test case prioritization technique, QTEP, to address the limitation of existing coverage-based TCP algorithms. In QTEP, we leverage code inspection techniques, i.e., a typical statistic defect prediction model and a typical static bug finder, to detect fault-prone source code and then adapt existing coverage-based TCP algorithms by considering the weighted source code in terms of fault-proneness. Our evaluation with 16 variant QTEP techniques on 33 different versions of 7 open source Java projects shows that QTEP could improve existing coverage-based TCP techniques for both regression and new test cases. Specifically, the improvement of the best variant of QTEP for regression test cases could be up to 15.0% and on average 7.6%, and for all test cases (both regression and new test cases), the improvement could be up to 10.0% and on average 5.0%.</t>
  </si>
  <si>
    <t>33 versions of seven open source Java projects</t>
  </si>
  <si>
    <t>24 to 2,516 test cases</t>
  </si>
  <si>
    <t>Static and dynamic stetement and  method coverage</t>
  </si>
  <si>
    <t>D Shin, S Yoo, M Papadakis, DH Bae</t>
  </si>
  <si>
    <t>Software Testing, Verification and Reliability, 2019</t>
  </si>
  <si>
    <t>Empirical evaluation of mutation-based test case prioritization techniques</t>
  </si>
  <si>
    <t xml:space="preserve">In this paper, we propose a new test case prioritization technique that combines both mutation‐based and diversity‐aware approaches. The diversity‐aware mutation‐based technique relies on the notion of mutant distinguishment, which aims to distinguish one mutant's behaviour from another, rather than from the original program. The relative cost and effectiveness of the mutation‐based prioritization techniques (i.e., using both the traditional mutant kill and the proposed mutant distinguishment) are empirically investigated with 352 real faults and 553,477 developer‐written test cases. The empirical evaluation considers both the traditional and the diversity‐aware mutation criteria in various settings: single‐objective greedy, hybrid, and multi‐objective optimization. The results show that there is no single dominant technique across all the studied faults. To this end, the reason why each one of the mutation‐based prioritization criteria performs poorly is discussed, using a graphical model called Mutant Distinguishment Graph that demonstrates the distribution of the fault‐detecting test cases with respect to mutant kills and distinguishment. </t>
  </si>
  <si>
    <t>1.2018; 2. Prioritization</t>
  </si>
  <si>
    <t>7 systems from Defects4J</t>
  </si>
  <si>
    <t>5k to 553k test cases</t>
  </si>
  <si>
    <t>Average percentage of mutants killed, average percentage of mutation distinguished</t>
  </si>
  <si>
    <t>D Paterson, J Campos, R Abreu, GM Kapfhammer, G Fraser, P McMinn</t>
  </si>
  <si>
    <t>International Conference on Software Testing, Verification, and Validation, ICST</t>
  </si>
  <si>
    <t>An Empirical Study on the Use of Defect Prediction for Test Case Prioritization</t>
  </si>
  <si>
    <t>Test case prioritization has been extensively re-searched as a means for reducing the time taken to discover regressions in software. While many different strategies have been developed and evaluated, prior experiments have shown them to not be effective at prioritizing test suites to find real faults. This paper presents a test case prioritization strategy based on defect prediction, a technique that analyzes code features - such as the number of revisions and authors - to estimate the likelihood that any given Java class will contain a bug. Intuitively, if defect prediction can accurately predict the class that is most likely to be buggy, a tool can prioritize tests to rapidly detect the defects in that class. We investigated how to configure a defect prediction tool, called Schwa, to maximize the likelihood of an accurate prediction, surfacing the link between perfect defect prediction and test case prioritization effectiveness. Using 6 real-world Java programs containing 395 real faults, we conducted an empirical evaluation comparing this paper's strategy, called G-clef, against eight existing test case prioritization strategies. The experiments reveal that using defect prediction to prioritize test cases reduces the number of test cases required to find a fault by on average 9.48% when compared with existing coverage-based strategies, and 10.4% when compared with existing history-based strategies.</t>
  </si>
  <si>
    <t>Two</t>
  </si>
  <si>
    <t>5 faults of each of the 7 systems from Defects4J</t>
  </si>
  <si>
    <t>Statement coverage</t>
  </si>
  <si>
    <t>The greedy algorithm is used as a secondary objective together with defect proneness</t>
  </si>
  <si>
    <t>D. Hao, L. Zhang and H. Mei</t>
  </si>
  <si>
    <t>Frontiers of Computer Science, 2016</t>
  </si>
  <si>
    <t>Test-case prioritization: achievements and challenges</t>
  </si>
  <si>
    <t>Test-case prioritization, proposed at the end of last century, aims to schedule the execution order of test cases so as to improve test effectiveness. In the past years, test-case prioritization has gained much attention, and has significant achievements in five aspects: prioritization algorithms, coverage criteria, measurement, practical concerns involved, and application scenarios. In this article, we will first review the achievements of test-case prioritization from these five aspects and then give our perspectives on its challenges.</t>
  </si>
  <si>
    <t>1. 2016; 2. Prioritization</t>
  </si>
  <si>
    <t>R Mukherjee, KS Patnaik</t>
  </si>
  <si>
    <t>Journal of King Saud University-Computer and Information Sciences, 2021</t>
  </si>
  <si>
    <t xml:space="preserve"> A survey on different approaches for software test case prioritization</t>
  </si>
  <si>
    <t>O Dahiya, K Solanki</t>
  </si>
  <si>
    <t>International Journal of Engineering &amp; Technology, 2018</t>
  </si>
  <si>
    <t>A systematic literature study of regression test case prioritization approaches</t>
  </si>
  <si>
    <t>Regression testing is about running the entire test ensemble again to ensure that amendments do not negatively affect the system. A popular approach in regression testing is test case prioritization which reorders test cases in such a way that those with higher priorities are run earlier than those with lower priorities based on some criterion. Numerous researchers have worked on different aspects of prioritization approaches. This paper presents the result of the study conducted on different prioritization approaches showing mostly stressed areas by researchers and the areas where there is a future scope. For it, studies related to test case prioritization in regression testing from the year 2004 to 2018 are analyzed by dividing this time period into three slots of five years each. 36 studies were selected from 948 studies to answer the research questions framed for this study. The trends followed in TCP along with the approaches evolved are thus documented to find the current trends and future scope for the researchers to work upon.</t>
  </si>
  <si>
    <t>X Wang, H Zeng, H Gao, H Miao, W Lin</t>
  </si>
  <si>
    <t>Mobile Information Systems, 2019</t>
  </si>
  <si>
    <t>Location‐Based Test Case Prioritization for Software Embedded in Mobile</t>
  </si>
  <si>
    <t>Considering that some intelligent software in mobile devices is related to location of sensors and devices, regression testing for it faces a major challenge. Test case prioritization (TCP), as a kind of regression test optimization technique, is beneficial to improve test efficiency. However, traditional TCP techniques may have limitations on testing intelligent software embedded in mobile devices because they do not take into account characteristics of mobile devices. This paper uses a smart mall as a scenario to design a novel location‐based TCP technique for software embedded in mobile devices using the law of gravitation. First, test gravitation is proposed by applying the idea of universal gravitation. Second, a specific calculation model of test gravitation is designed for a smart mall scenario. Third, how to create a faulted test case set is designed by the pseudocode. Fourth, a location‐based TCP using the law of gravitation algorithm is proposed, which utilizes test case information, fault information, and location information to prioritize test cases. Finally, an empirical evaluation is presented by using one industrial project. The observation, underlying the experimental results, is that our proposed TCP approach performs better than traditional TCP techniques. In addition, besides location information, the level of devices is also an important factor which affects the prioritization efficiency.</t>
  </si>
  <si>
    <t>Others</t>
  </si>
  <si>
    <t>An industrial case study</t>
  </si>
  <si>
    <t>9 to 54 test cases</t>
  </si>
  <si>
    <t>Location information</t>
  </si>
  <si>
    <t>APFD and APFDc</t>
  </si>
  <si>
    <t>It could be out of scope</t>
  </si>
  <si>
    <t>O Banias</t>
  </si>
  <si>
    <t>Information and Software Technology, 2019</t>
  </si>
  <si>
    <t>Test case selection-prioritization approach based on memoization dynamic programming algorithm</t>
  </si>
  <si>
    <t>Context
In the software industry, selection and prioritization techniques become a necessity in the regression and validation testing phases because a lot of test cases are available for reuse, yet time and project specific constraints must be respected.
Objective
In this paper we propose a dynamic programming approach in solving test case selection-prioritization problems. We focus on low memory consumption in pseudo-polynomial time complexity applicable in both selection and selection-prioritization problems over sets of test cases or test suites. In dynamic programming optimization solutions, huge amounts of memory are required and unfortunately the memory is limited. Therefore, lower memory consumption leads to a higher number of test cases to be involved in the selection process.
Method
Our approach is suited for medium to large projects where the required memory space is not higher than the order of tens of GBytes. We employed both objective methods as the dynamic programming algorithm and subjective and empiric human decision as defining the prioritization criteria. Furthermore, we propose a method of employing multiple project specific criteria in evaluating the importance of a test case in the project context.
Results
To evaluate the proposed solution relative to the classical dynamic programming knapsack solution, we developed a suite of comparative case studies based on 1000 generated scenarios as close as possible to real project scenarios. The results of the comparative study reported the proposed algorithm requires up to 400 times less memory in the best-case scenarios and about 40 times less memory in average.
Conclusion
The solution delivers optimal results in pseudo-polynomial time complexity, is effective for amounts of test cases up to the order of millions and compared with the classical dynamic programming methods leads to higher number of test cases to be involved in the selection process due to reduced memory consumption.</t>
  </si>
  <si>
    <t>1. 2019; 2. Selection and Prioritization</t>
  </si>
  <si>
    <t>Dynamic programming</t>
  </si>
  <si>
    <t>A manually developed case study</t>
  </si>
  <si>
    <t>1,000 scenarios</t>
  </si>
  <si>
    <t>memory consumption</t>
  </si>
  <si>
    <t>MJ Arafeen, H Do</t>
  </si>
  <si>
    <t>Test case prioritization using requirements-based clustering</t>
  </si>
  <si>
    <t>1. 2013; 2. Prioritization</t>
  </si>
  <si>
    <t>Two systems</t>
  </si>
  <si>
    <t>6.82 to 30.30 KLOC, 42 to 142 test cases</t>
  </si>
  <si>
    <t>Requirement-test case traceability matrix</t>
  </si>
  <si>
    <t>Christopher Henard, Mike Papadakis, Mark Harman, Yue Jia, Yves Le Traon</t>
  </si>
  <si>
    <t>Comparing white-box and black-box test prioritization</t>
  </si>
  <si>
    <t>Although white-box regression test prioritization has been well-studied, the more recently introduced black-box prioritization approaches have neither been compared against each other nor against more well-established white-box techniques. We present a comprehensive experimental comparison of several test prioritization techniques, including well-established white-box strategies and more recently introduced black-box approaches. We found that Combinatorial Interaction Testing and diversity-based techniques (Input Model Diversity and Input Test Set Diameter) perform best among the black-box approaches. Perhaps surprisingly, we found little difference between black-box and white-box performance (at most 4% fault detection rate difference). We also found the overlap between black- and white-box faults to be high: the first 10% of the prioritized test suites already agree on at least 60% of the faults found. These are positive findings for practicing regression testers who may not have source code available, thereby making white-box techniques inapplicable. We also found evidence that both black-box and white-box prioritization remain robust over multiple system releases.</t>
  </si>
  <si>
    <t>5 programs from the SIR repository - each with 5 versions</t>
  </si>
  <si>
    <t>4k to 58k test cases</t>
  </si>
  <si>
    <t>statement, branch, method coverages, spanning statements and branches, branch diversity, t-wise, input model diversity, input model mutation, output diversity, …</t>
  </si>
  <si>
    <t>APFD and Jaccard coefficient</t>
  </si>
  <si>
    <t>C Catal, D Mishra</t>
  </si>
  <si>
    <t>Software Quality Journal, 2013</t>
  </si>
  <si>
    <t>Test case prioritization: a systematic mapping study</t>
  </si>
  <si>
    <t>Test case prioritization techniques, which are used to improve the cost-effectiveness of regression testing, order test cases in such a way that those cases that are expected to outperform others in detecting software faults are run earlier in the testing phase. The objective of this study is to examine what kind of techniques have been widely used in papers on this subject, determine which aspects of test case prioritization have been studied, provide a basis for the improvement of test case prioritization research, and evaluate the current trends of this research area. We searched for papers in the following five electronic databases: IEEE Explorer, ACM Digital Library, Science Direct, Springer, and Wiley. Initially, the search string retrieved 202 studies, but upon further examination of titles and abstracts, 120 papers were identified as related to test case prioritization. There exists a large variety of prioritization techniques in the literature, with coverage-based prioritization techniques (i.e., prioritization in terms of the number of statements, basic blocks, or methods test cases cover) dominating the field. The proportion of papers on model-based techniques is on the rise, yet the growth rate is still slow. The proportion of papers that use datasets from industrial projects is found to be 64 %, while those that utilize public datasets for validation are only 38 %. On the basis of this study, the following recommendations are provided for researchers: (1) Give preference to public datasets rather than proprietary datasets; (2) develop more model-based prioritization methods; (3) conduct more studies on the comparison of prioritization methods; (4) always evaluate the effectiveness of the proposed technique with well-known evaluation metrics and compare the performance with the existing methods; (5) publish surveys and systematic review papers on test case prioritization; and (6) use datasets from industrial projects that represent real industrial problems.</t>
  </si>
  <si>
    <t>1. 2012; 2. Prioritization</t>
  </si>
  <si>
    <t>SMS</t>
  </si>
  <si>
    <t>A Panichella, R Oliveto, M Di Penta, A De Lucia</t>
  </si>
  <si>
    <t>IEEE Transactions on Software Engineering, 2014</t>
  </si>
  <si>
    <t>Improving multi-objective test case selection by injecting diversity in genetic algorithms</t>
  </si>
  <si>
    <t>A way to reduce the cost of regression testing consists of selecting or prioritizing subsets of test cases from a test suite according to some criteria. Besides greedy algorithms, cost cognizant additional greedy algorithms, multi-objective optimization algorithms, and multi-objective genetic algorithms (MOGAs), have also been proposed to tackle this problem. However, previous studies have shown that there is no clear winner between greedy and MOGAs, and that their combination does not necessarily produce better results. In this paper we show that the optimality of MOGAs can be significantly improved by diversifying the solutions (sub-sets of the test suite) generated during the search process. Specifically, we introduce a new MOGA, coined as DIversity based Genetic Algorithm (DIV-GA), based on the mechanisms of orthogonal design and orthogonal evolution that increase diversity by injecting new orthogonal individuals during the search process. Results of an empirical study conducted on eleven programs show that DIV-GA outperforms both greedy algorithms and the traditional MOGAs from the optimality point of view. Moreover, the solutions (sub-sets of the test suite) provided by DIV-GA are able to detect more faults than the other algorithms, while keeping the same test execution cost.</t>
  </si>
  <si>
    <t>1. 2015; 2. Selection</t>
  </si>
  <si>
    <t>5 programs from the SIR repository</t>
  </si>
  <si>
    <t>374 to 122K LOC; 215 to 13,583 test cases</t>
  </si>
  <si>
    <t>Statement coverage, execution cost, past faults</t>
  </si>
  <si>
    <t>Size of Pareto frontier, number of non-dominated solutions, hypervolume</t>
  </si>
  <si>
    <t>R Kazmi, DNA Jawawi, R Mohamad, I Ghani</t>
  </si>
  <si>
    <t>ACM Computing Surveys (CSUR), 2017</t>
  </si>
  <si>
    <t>Effective regression test case selection: A systematic literature review</t>
  </si>
  <si>
    <t xml:space="preserve">
Regression test case selection techniques attempt to increase the testing effectiveness based on the measurement capabilities, such as cost, coverage, and fault detection. This systematic literature review presents state-of-the-art research in effective regression test case selection techniques. We examined 47 empirical studies published between 2007 and 2015. The selected studies are categorized according to the selection procedure, empirical study design, and adequacy criteria with respect to their effectiveness measurement capability and methods used to measure the validity of these results.
The results showed that mining and learning-based regression test case selection was reported in 39% of the studies, unit level testing was reported in 18% of the studies, and object-oriented environment (Java) was used in 26% of the studies. Structural faults, the most common target, was used in 55% of the studies. Overall, only 39% of the studies conducted followed experimental guidelines and are reproducible.
There are 7 different cost measures, 13 different coverage types, and 5 fault-detection metrics reported in these studies. It is also observed that 70% of the studies being analyzed used cost as the effectiveness measure compared to 31% that used fault-detection capability and 16% that used coverage.</t>
  </si>
  <si>
    <t>1. 2017; 2. Selection</t>
  </si>
  <si>
    <t>A Choudhary, AP Agrawal, A Kaur</t>
  </si>
  <si>
    <t>Proceedings of the 11th International Workshop on Search-Based Software Testing, 2018</t>
  </si>
  <si>
    <t>An effective approach for regression test case selection using pareto based multi-objective harmony search</t>
  </si>
  <si>
    <t xml:space="preserve">
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</si>
  <si>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Selection</t>
  </si>
  <si>
    <t>Two-objectives (?) Not clear</t>
  </si>
  <si>
    <t>SIR (subset with 12 versions of 5 projects)</t>
  </si>
  <si>
    <t>Different domains; between 600 and 15 test cases; LOC not provided;</t>
  </si>
  <si>
    <t>Apparently none. They seed faults, and only seem to use fault coverage and execution time as objectives (!)</t>
  </si>
  <si>
    <t>Number of faults detected and execution time</t>
  </si>
  <si>
    <t>This is a low-quality work. Might have slipped through the QA</t>
  </si>
  <si>
    <t>DK Yadav, S Dutta</t>
  </si>
  <si>
    <t>Microsystem Technologies, 2020</t>
  </si>
  <si>
    <t>Regression test case selection and prioritization for object oriented software</t>
  </si>
  <si>
    <t>in software maintenance, after modifying the software a system needs regression testing. Execution of regression testing confirms that any modified code has no adverse effect as well as does not introduce new faults in the existing functionality of the software. When working with object-oriented programming code-based testing is generally expensive. In this study, we proposed a technique for regression testing using unified modeling language (UML) diagrams and code-based analysis for object-oriented software. In this research work, the design and code based technique with an evolutionary approach are presented to select the best possible test cases from the test suite. We used the dependency graph for intermediate representation for the objectoriented program to identify the change. The selection of test cases is done at the design level using the UML model. The models are compared to identify the change between these two models. The proposed approached maximizes the value of APFD.</t>
  </si>
  <si>
    <t>Two-objectives</t>
  </si>
  <si>
    <t>Custom (five programs)</t>
  </si>
  <si>
    <t>Different domains; Between 50 and 10 test cases per project; LOC not provided (OO metrics such as num of classes provided)</t>
  </si>
  <si>
    <t>Code changes</t>
  </si>
  <si>
    <t>S Singhal, N Jatana, B Suri, S Misra, L Fernandez-Sanz</t>
  </si>
  <si>
    <t>Applied Sciences, 2021</t>
  </si>
  <si>
    <t>Systematic literature review on test case selection and prioritization: A tertiary study</t>
  </si>
  <si>
    <t>Software testing is undertaken to ensure that the software meets the expected requirements. The intention is to find bugs, errors, or defects in the developed software so that they can be fixed before deployment. Testing of the software is needed even after it is deployed. Regression testing is an inevitable part of software development, and must be accomplished in the maintenance phase of software development to ensure software reliability. The existing literature presents a large amount of relevant knowledge about the types of techniques and approaches used in regression test case selection and prioritization (TCS&amp;P), comparisons of techniques used in TCS&amp;P, and the data used. Numerous secondary studies (surveys or reviews) have been conducted in the area of TCS&amp;P. This study aimed to provide a comprehensive examination of the analysis of the enhancements in TCS&amp;P using a thorough systematic literature review (SLR) of the existing secondary studies. This SLR provides: (1) a collection of all the valuable secondary studies (and their qualitative analysis); (2) a thorough analysis of the publications and the trends of the secondary studies; (3) a classification of the various approaches used in the secondary studies; (4) insight into the specializations and range of years covered in the secondary texts; (5) a comprehensive list of statistical tests and tools used in the area; (6) insight into the quality of the secondary studies based on the seven selected Research Paper Quality parameters; (7) the common problems and challenges encountered by researchers; (8) common gaps and limitations of the studies; and (9) the probable prospects for research in the field of TCS&amp;P.</t>
  </si>
  <si>
    <t>Prioritization and Selection</t>
  </si>
  <si>
    <t>Not applicable for SLR?</t>
  </si>
  <si>
    <t>S Sampath, R Bryce, AM Memon</t>
  </si>
  <si>
    <t>IEEE transactions on software engineering, 2013</t>
  </si>
  <si>
    <t>A uniform representation of hybrid criteria for regression testing</t>
  </si>
  <si>
    <t>Regression testing tasks of test case prioritization, test suite reduction/minimization, and regression test selection are typically centered around criteria that are based on code coverage, test execution costs, and code modifications. Researchers have developed and evaluated new individual criteria; others have combined existing criteria in different ways to form what we--and some others--call hybrid criteria. In this paper, we formalize the notion of combining multiple criteria into a hybrid. Our goal is to create a uniform representation of such combinations so that they can be described unambiguously and shared among researchers. We envision that such sharing will allow researchers to implement, study, extend, and evaluate the hybrids using a common set of techniques and tools. We precisely formulate three hybrid combinations, Rank, Merge, and Choice, and demonstrate their usefulness in two ways. First, we recast, in terms of our formulations, others' previously reported work on hybrid criteria. Second, we use our previous results on test case prioritization to create and evaluate new hybrid criteria. Our findings suggest that hybrid criteria of others can be described using our Merge and Rank formulations, and that the hybrid criteria we developed most often outperformed their constituent individual criteria.</t>
  </si>
  <si>
    <t>Prioritization, Selection, Minimization</t>
  </si>
  <si>
    <t>Custom (7 event driven systems, 4 gui and 3 web apps)</t>
  </si>
  <si>
    <t>7 event driven systems, 4 gui and 3 web apps, LOC ranging from 1000 to 20k; tests ranging from  125 to 890 per app</t>
  </si>
  <si>
    <t>Seeded faults, number of faults discovered by tests</t>
  </si>
  <si>
    <t>PK Mishra, B Pattanaik</t>
  </si>
  <si>
    <t>International Journal of Computer Applications, 2013</t>
  </si>
  <si>
    <t>Analysis of test case prioritization in regression testing using genetic algorithm</t>
  </si>
  <si>
    <t>Testing is an accepted technique for improving the quality of developed software with the increase in size and complexity of modern software products, the importance of testing is rapidly growing. Regression testing plays a vital role for software maintenance when software is modified. The main purpose of regression testing is to ensure the bugs are fixed and the new functionality that are incorporated in a new version of a software do not unfavorably affect the correct functionality of the previous version. So to revalidate the modified software, regression testing is the right testing process. Though it is an expensive process which requires executing maintenance process frequently but it becomes necessary for subsequent version of test suites. To evaluate the quality of test cases which are used to test a program. Testing requires execution of a program. In this paper it is proposed a new test case prioritization technique using genetic algorithm. The proposed technique separate the test case detected as severe by customer and among the rest test case prioritizes subsequences of the original test suite so that the new suite, which is to run within a time-constrained execution environment. It will have a superior rate of fault detection when compared to rates of randomly prioritized test suites. This experiment analyzes the genetic algorithm with regard to effectiveness and time overhead by utilizing structurallybased criterion to prioritize test cases.</t>
  </si>
  <si>
    <t>Prioritization</t>
  </si>
  <si>
    <t>Custom</t>
  </si>
  <si>
    <t>Not clear</t>
  </si>
  <si>
    <t>Coverage</t>
  </si>
  <si>
    <t>Code coverage, time (no faults it seems)</t>
  </si>
  <si>
    <t>Low quality work, not entirely clear</t>
  </si>
  <si>
    <t>R Lachmann</t>
  </si>
  <si>
    <t>The European test and telemetry conference, Nuremberg, Germany, 2018</t>
  </si>
  <si>
    <t>Machine learning-driven test case prioritization approaches for black-box software testing</t>
  </si>
  <si>
    <t>Regression testing is the task of retesting a software system after changes have occurred, eg, after a new version has been developed. Usually, only a subset of test cases is executed for a particular version due to restricted resources. This poses the problem of identifying important test cases for testing. Regression testing techniques such as test case prioritization have been introduced to guide the testing process. Existing techniques usually require source code information. However, system testing of complex applications often restricts access to the source code, ie, they are a black-box. Here, a large set of test cases is manually executed. In previous work, we proposed a test case prioritization technique for system testing using supervised machine learning. We designed our approach to prioritize manually executed test cases, ie, it analyzes meta-data and natural language artifacts to compute test case priority values. In this paper, we apply further machine learning algorithms and an ensemble learning approach. In addition, we evaluate our approach on three different data sets in total, which all stem from the automotive industry and, thus, represent real life regression testing data sets. We analyze the results of our approach in terms of its failure finding potential. Our findings indicate that black-box testing can be improved using machine learning techniques.</t>
  </si>
  <si>
    <t>History-based, Requirements-based; Others</t>
  </si>
  <si>
    <t>3 subject systems from Automotive domain; no LOC; test cases from 1700 to 10k</t>
  </si>
  <si>
    <t>Failure history, linked requirements; test case age; description in natural language of the test, test case execution time</t>
  </si>
  <si>
    <t>Mojtaba Bagherzadeh; Nafiseh Kahani; Lionel Briand</t>
  </si>
  <si>
    <t>Reinforcement Learning for Test Case Prioritization</t>
  </si>
  <si>
    <t>Continuous Integration (CI) significantly reduces integration problems, speeds up development time, and shortens release time. However, it also introduces new challenges for quality assurance activities, including regression testing, which is the focus of this work. Though various approaches for test case prioritization have shown to be very promising in the context of regression testing, specific techniques must be designed to deal with the dynamic nature and timing constraints of CI. Recently, Reinforcement Learning (RL) has shown great potential in various challenging scenarios that require continuous adaptation, such as game playing, real-time ads bidding, and recommender systems. Inspired by this line of work and building on initial efforts in supporting test case prioritization with RL techniques, we perform here a comprehensive investigation of RL-based test case prioritization in a CI context. To this end, taking test case prioritization as a ranking problem, we model the sequential interactions between the CI environment and a test case prioritization agent as an RL problem, using three alternative ranking models. We then rely on carefully selected and tailored state-of-the-art RL techniques to automatically and continuously learn a test case prioritization strategy, whose objective is to be as close as possible to the optimal one. Our extensive experimental analysis shows that the best RL solutions provide a significant accuracy improvement over previous RL-based work, with prioritization strategies getting close to being optimal, thus paving the way for using RL to prioritize test cases in a CI context.</t>
  </si>
  <si>
    <t>History-based, Others</t>
  </si>
  <si>
    <t>ML-based (Reinforcement Learning)</t>
  </si>
  <si>
    <t>Two dataset (one from previous work with two projects) one enriched consisting of six projects from the Apache Commons project</t>
  </si>
  <si>
    <t>9 projects total; CI execution traces</t>
  </si>
  <si>
    <t>History</t>
  </si>
  <si>
    <t>NRPA, APFD</t>
  </si>
  <si>
    <t>Github repo, no proper archival https://github.com/moji1/tp_rl</t>
  </si>
  <si>
    <t>M Mahdieh, SH Mirian-Hosseinabadi, K Etemadi, A Nosrati, S Jalali</t>
  </si>
  <si>
    <t>Information and Software Technology, 2020</t>
  </si>
  <si>
    <t>Incorporating fault-proneness estimations into coverage-based test case prioritization methods</t>
  </si>
  <si>
    <t>Context: During the development process of a software program, regression testing is used to ensure that the correct behavior of the software is retained after updates to the source code. This regression testing becomes costly over time as the number of test cases increases and it makes sense to prioritize test cases in order to execute fault-detecting test cases as soon as possible. There are many coverage-based test case prioritization (TCP) methods that only use the code coverage data to prioritize test cases. By incorporating the fault-proneness estimations of code units into the coverage-based TCP methods, we can improve such techniques.
Objective: In this paper, we aim to propose an approach which improves coverage-based TCP methods by considering the fault-proneness distribution over code units. Further, we present the results of an empirical study that shows using our proposed approach significantly improves the additional strategy, which is a widely used coverage-based TCP method.
Method: The approach presented in this study uses the bug history of the software in order to introduce a defect prediction method to learn a neural network model. This model is then used to estimate fault-proneness of each area of the source code and then the estimations are incorporated into coverage-based TCP methods. Our proposed approach is a general idea that can be applied to many coverage-based methods, such as the additional and total TCP methods.
Results: The proposed methods are evaluated on datasets collected from the development history of five real-world projects including 357 versions in total. The experiments show that using an appropriate bug history can improve coverage-based TCP methods.
Conclusion: The proposed approach can be applied to various coverage-based TCP methods and the experiments show that it can improve these methods by incorporating estimations of code units fault-proneness.</t>
  </si>
  <si>
    <t>Coverage-based, Other: Fault-proneness estimation</t>
  </si>
  <si>
    <t>Defects4J</t>
  </si>
  <si>
    <t>5 Java projects from different domains; Test classes ranging from 112 to 384 per project</t>
  </si>
  <si>
    <t>Defect, bug history</t>
  </si>
  <si>
    <t>data and code available in two separate github repos</t>
  </si>
  <si>
    <t>M Mahdieh, SH Mirian-Hosseinabadi, M Mahdieh</t>
  </si>
  <si>
    <t>Automated Software Engineering, 2022</t>
  </si>
  <si>
    <t>Test case prioritization using test case diversification and fault-proneness estimations</t>
  </si>
  <si>
    <t>Regression testing activities greatly reduce the risk of faulty software release. However, the size of the test suites grows throughout the development process, resulting in time-consuming execution of the test suite and delayed feedback to the software development team. This has urged the need for approaches such as test case prioritization (TCP) and test-suite reduction to reach better results in case of limited resources. In this regard, proposing approaches that use auxiliary sources of data such as bug history can be interesting. We aim to propose an approach for TCP that takes into account test case coverage data, bug history, and test case diversification. To evaluate this approach we study its performance on real-world open-source projects. The bug history is used to estimate the fault-proneness of source code areas. The diversification of test cases is preserved by incorporating fault-proneness on a clustering-based approach scheme. The proposed methods are evaluated on datasets collected from the development history of five real-world projects including 357 versions in total. The experiments show that the proposed methods are superior to coverage-based TCP methods. The proposed approach shows that improvement of coverage-based and fault-proneness-based methods is possible by using a combination of diversification and fault-proneness incorporation.</t>
  </si>
  <si>
    <t>Coverage-based, History-based; Diversity-based;</t>
  </si>
  <si>
    <t>5 projects, different domains, java</t>
  </si>
  <si>
    <t>Coverage, history</t>
  </si>
  <si>
    <t>First-failing metric</t>
  </si>
  <si>
    <t>C Lu, J Zhong, Y Xue, L Feng, J Zhang</t>
  </si>
  <si>
    <t>IEEE transactions on reliability, 2019</t>
  </si>
  <si>
    <t>Ant colony system with sorting-based local search for coverage-based test case prioritization</t>
  </si>
  <si>
    <t>Test case prioritization (TCP) is a popular regression testing technique in software engineering field. The task of TCP is to schedule the execution order of test cases so that certain objective (e.g., code coverage) can be achieved quickly. In this article, we propose an efficient ant colony system framework for the TCP problem, with the aim of maximizing the code coverage as soon as possible. In the proposed framework, an effective heuristic function is proposed to guide the ants to construct solutions based on additional statement coverage among remaining test cases. Besides, a sorting-based local search mechanism is proposed to further accelerate the convergence speed of the algorithm. Experimental results on different benchmark problems, and a real-world application, have shown that the proposed framework can outperform several state-of-the-art methods, in terms of solution quality and search efficiency.</t>
  </si>
  <si>
    <t>Single-</t>
  </si>
  <si>
    <t>APFD; APBC; APFC</t>
  </si>
  <si>
    <t xml:space="preserve">Hosney Jahan, Ziliang Feng &amp; S. M. Hasan Mahmud </t>
  </si>
  <si>
    <t xml:space="preserve">Arabian Journal for Science and Engineering </t>
  </si>
  <si>
    <t>Risk-Based Test Case Prioritization by Correlating System Methods and Their Associated Risks</t>
  </si>
  <si>
    <t>Regression testing aims to ensure the quality of a software after modification. However, re-executing the entire test suite in regression testing is a time-consuming, costly, and tedious process that often requires additional budget and time. Thus, limited resources always result in early termination and poor quality software. Test case prioritization aims to improve regression testing by re-scheduling the test cases in a manner that could increase the fault detection rate. Risk-based testing has gained popularity in the area of software testing. However, most of the existing methods compute risk values manually, which makes these methods tiresome, laborious, and slow. In this paper, we propose a semi-automatic risk-based test case prioritization approach based on software modification information and methods (functions) invocation relationship. The objective of this research is to make risk-based testing more systematic and flexible by automating the risk assessment process, and find high-risk faults early. The proposed approach utilizes the requirements modification information, complexity, and size of the methods as the risk indicating factors. We applied an automated procedure to extract these risk factors and compute the risk values of the system methods. The proposed approach is empirically evaluated with two software applications with multiple versions in terms of its fault detection rate, both overall and in risky modules. The experimental results suggest that our proposed approach improves test efficiency by spotting defects early overall and even earlier in the high-risk modules than existing state-of-the-art approaches.</t>
  </si>
  <si>
    <t>Two apps, used in their prior work. Three versions per app; 400-500 tests per version</t>
  </si>
  <si>
    <t>changed requirements, method size and complexity</t>
  </si>
  <si>
    <t>Jianlei Chia, Yu Quc, Qinghua Zhenga, Zijiang Yangb, Wuxia Jina, Di Cuia, Ting Liua</t>
  </si>
  <si>
    <t>The Journal of Systems and Software</t>
  </si>
  <si>
    <t>Test case prioritization (TCP), which aims at detecting faults as early as possible is broadly used in pro-
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
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
performs existing techniques on large programs in terms of bug detection capability, and also achieves
the highest mean APFD value. The performance demonstrates a growth trend as the size of the program
increases.</t>
  </si>
  <si>
    <t>Heuristic-based (greedy)</t>
  </si>
  <si>
    <t>8 projects used in prior studies</t>
  </si>
  <si>
    <t>V Garousi, R Özkan, A Betin-Can</t>
  </si>
  <si>
    <t>Information and Software Technology, 2018</t>
  </si>
  <si>
    <t>Multi-objective regression test selection in practice: An empirical study in the defense software industry</t>
  </si>
  <si>
    <t>Context
Executing an entire regression test-suite after every code change is often costly in large software projects. To cope with this challenge, researchers have proposed various regression test-selection techniques.
Objective
This paper was motivated by a real industrial need to improve regression-testing practices in the context of a safety-critical industrial software in the defence domain in Turkey. To address our objective, we set up and conducted an “action-research” collaborative project between industry and academia.
Method
After a careful literature review, we selected a conceptual multi-objective regression-test selection framework (called MORTO) and adopted it to our industrial context by developing a custom-built genetic algorithm (GA) based on that conceptual framework. GA is able to provide full coverage of the affected (changed) requirements while considering multiple cost and benefit factors of regression testing. e.g., minimizing the number of test cases, and maximizing cumulative number of detected faults by each test suite.
Results
The empirical results of applying the approach on the Software Under Test (SUT) demonstrate that this approach yields a more efficient test suite (in terms of costs and benefits) compared to the old (manual) test-selection approach, used in the company, and another applicable approach chosen from the literature. With this new approach, regression selection process in the project under study is not ad-hoc anymore. Furthermore, we have been able to eliminate the subjectivity of regression testing and its dependency on expert opinions.
Conclusion
Since the proposed approach has been beneficial in saving the costs of regression testing, it is currently in active use in the company. We believe that other practitioners can apply our approach in their regression-testing contexts too, when applicable. Furthermore, this paper contributes to the body of evidence in regression testing by offering a success story of successful implementation and application of multi-objective regression testing in practice.</t>
  </si>
  <si>
    <t>Three-objectives</t>
  </si>
  <si>
    <t>Industrial (proprietary)</t>
  </si>
  <si>
    <t>Defense industry?</t>
  </si>
  <si>
    <t>Fault detection ability, number of detected faults</t>
  </si>
  <si>
    <t>only code available on zenodo (no data)</t>
  </si>
  <si>
    <t>M Olsthoorn, A Panichella</t>
  </si>
  <si>
    <t>International Symposium on Search Based Software Engineering, 2021</t>
  </si>
  <si>
    <t>Multi-objective test case selection through linkage learning-based crossover</t>
  </si>
  <si>
    <t>Test Case Selection (TCS) aims to select a subset of the test suite to run for regression testing. The selection is typically based on past coverage and execution cost data. Researchers have successfully used multi-objective evolutionary algorithms (MOEAs), such as NSGA-II and its variants, to solve this problem. These MOEAs use traditional crossover operators to create new candidate solutions through genetic recombination. Recent studies in numerical optimization have shown that better recombinations can be made using machine learning, in particular linkage learning. Inspired by these recent advances in this field, we propose a new variant of NSGA-II, called L2-NSGA, that uses linkage learning to optimize test case selection. In particular, we use an unsupervised clustering algorithm to infer promising patterns among the solutions (subset of test suites). Then, these patterns are used in the next iterations of L2-NSGA to create solutions that preserve these inferred patterns. Our results show that our customizations make NSGA-II more effective for test case selection. The test suite sub-sets generated by L2-NSGA are less expensive and detect more faults than those generated by MOEAs used in the literature for regression testing.</t>
  </si>
  <si>
    <t>SIR (subset with 4 projects)</t>
  </si>
  <si>
    <t>4 projects GNU LINUX utilities; 360 to 1000 tests</t>
  </si>
  <si>
    <t>Multiple versions, seeded faults</t>
  </si>
  <si>
    <t>Fault-detection capability</t>
  </si>
  <si>
    <t>available on zenodo</t>
  </si>
  <si>
    <t>M Al-Refai, S Ghosh, W Cazzola</t>
  </si>
  <si>
    <t>2016 IEEE International Conference on Software Testing, Verification and Validation (ICST)</t>
  </si>
  <si>
    <t>Model-based regression test selection for validating runtime adaptation of software systems</t>
  </si>
  <si>
    <t>An increasing number of modern software systems need to be adapted at runtime without stopping their execution. Runtime adaptations can introduce faults in existing functionality, and thus, regression testing must be conducted after an adaptation is performed but before the adaptation is deployed to the running system. Regression testing must be completed subject to time and resource constraints. Thus, test selection techniques are needed to reduce the cost of regression testing. The FiGA framework provides a complete loop from code to models and back that allows fine-grained model-based adaptation and validation of running Java systems without stopping their execution. In this paper we present a model-based test selection approach for regression testing during the validation activity to be used with the FiGA framework. The evaluation results show that our approach was able to reduce the number of selected test cases, and that the model-level fault detection ability of the selected test cases was never lower than that of the original test cases.</t>
  </si>
  <si>
    <t>Custom (two apps)</t>
  </si>
  <si>
    <t>Two apps, different domains, airline reservation and xml parser, 700 to 6000 loc, 61 to 91 tests</t>
  </si>
  <si>
    <t>M Al-Refai, W Cazzola, S Ghosh</t>
  </si>
  <si>
    <t>ACM/IEEE International Conference on Model Driven Engineering Languages and Systems (MODELS)</t>
  </si>
  <si>
    <t>A fuzzy logic based approach for model-based regression test selection</t>
  </si>
  <si>
    <t>Regression testing is performed to verify that previously developed functionality of a software system is not broken when changes are made to the system. Since executing all the existing test cases can be expensive, regression test selection (RTS) approaches are used to select a subset of them, thereby improving the efficiency of regression testing. Model-based RTS approaches select test cases on the basis of changes made to the models of a software system. While these approaches are useful in projects that already use model-driven development methodologies, a key obstacle is that the models are generally created at a high level of abstraction. They lack the information needed to build traceability links between the models and the coverage-related execution traces from the code-level test cases. In this paper, we propose a fuzzy logic based approach named FLiRTS, for UML model-based RTS. FLiRTS automatically refines abstract UML models to generate multiple detailed UML models that permit the identification of the traceability links. The process introduces a degree of uncertainty, which is addressed by applying fuzzy logic based on the refinements to allow the classification of the test cases as retestable according to the probabilistic correctness associated with the used refinement. The potential of using FLiRTS is demonstrated on a simple case study. The results are promising and comparable to those obtained from a model-based approach (MaRTS) that requires detailed design models, and a code-based approach (DejaVu).</t>
  </si>
  <si>
    <t>Custom (single app)</t>
  </si>
  <si>
    <t>Single app, airline reservation</t>
  </si>
  <si>
    <t>Models</t>
  </si>
  <si>
    <t>D Di Nucci, A Panichella, A Zaidman, A De Lucia</t>
  </si>
  <si>
    <t>IEEE Transactions on Software Engineering, 2018</t>
  </si>
  <si>
    <t>A Test Case Prioritization Genetic Algorithm Guided by the Hypervolume Indicator</t>
  </si>
  <si>
    <t>Regression testing is performed during maintenance activities to assess whether the unchanged parts of a software behave as intended. To reduce its cost, test case prioritization techniques can be used to schedule the execution of the available test cases to increase their ability to reveal regression faults earlier. Optimal test ordering can be determined using various techniques, such as greedy algorithms and meta-heuristics, and optimizing multiple fitness functions, such as the average percentage of statement and branch coverage. These fitness functions condense the cumulative coverage scores achieved when incrementally running test cases in a given ordering using Area Under Curve (AUC) metrics. In this paper, we notice that AUC metrics represent a bi-dimensional (simplified) version of the hypervolume metric, which is widely used in many-objective optimization. Thus, we propose a Hypervolume-based Genetic Algorithm, namely HGA, to solve the Test Case Prioritization problem when using multiple test coverage criteria. An empirical study conducted with respect to five state-of-the-art techniques shows that (i) HGA is more cost-effective, (ii) HGA improves the efficiency of Test Case Prioritization, (iii) HGA has a stronger selective pressure when dealing with more than three criteria.</t>
  </si>
  <si>
    <t>Up to three</t>
  </si>
  <si>
    <t>SIR (5 GNU utils)</t>
  </si>
  <si>
    <t>Five gnu utils; LOCS from 6k to 60k, tests from 200 to 1000, implemented using C</t>
  </si>
  <si>
    <t>Seeded faults</t>
  </si>
  <si>
    <t>APFD corrected; running time</t>
  </si>
  <si>
    <t>available on figshare</t>
  </si>
  <si>
    <t>H Spieker, A Gotlieb, D Marijan, M Mossige</t>
  </si>
  <si>
    <t>ISSTA 2017: Proceedings of the 26th ACM SIGSOFT International Symposium on Software Testing and Analysis</t>
  </si>
  <si>
    <t>Reinforcement learning for automatic test case prioritization and selection in continuous integration</t>
  </si>
  <si>
    <t>Testing in Continuous Integration (CI) involves test case prioritization, selection, and execution at each cycle. Selecting the most promising test cases to detect bugs is hard if there are uncertainties on the impact of committed code changes or, if traceability links between code and tests are not available. This paper introduces Retecs, a new method for automatically learning test case selection and prioritization in CI with the goal to minimize the round-trip time between code commits and developer feedback on failed test cases. The Retecs method uses reinforcement learning to select and prioritize test cases according to their duration, previous last execution and failure history. In a constantly changing environment, where new test cases are created and obsolete test cases are deleted, the Retecs method learns to prioritize error-prone test cases higher under guidance of a reward function and by observing previous CI cycles. By applying Retecs on data extracted from three industrial case studies, we show for the first time that reinforcement learning enables fruitful automatic adaptive test case selection and prioritization in CI and regression testing.</t>
  </si>
  <si>
    <t xml:space="preserve">History-based; Cost-aware; </t>
  </si>
  <si>
    <t>Three projects (open source, industry), GSDTSR</t>
  </si>
  <si>
    <t>each project contains historic information on data executin in ci-like envs for about 300 cycles</t>
  </si>
  <si>
    <t>AM Alakeel</t>
  </si>
  <si>
    <t>The Scientific World Journal, 2014</t>
  </si>
  <si>
    <t>Using fuzzy logic in test case prioritization for regression testing programs with assertions</t>
  </si>
  <si>
    <t>Program assertions have been recognized as a supporting tool during software development, testing, and maintenance. Therefore, software developers place assertions within their code in positions that are considered to be error prone or that have the potential to lead to a software crash or failure. Similar to any other software, programs with assertions must be maintained. Depending on the type of modification applied to the modified program, assertions also might have to undergo some modifications. New assertions may also be introduced in the new version of the program, while some assertions can be kept the same. This paper presents a novel approach for test case prioritization during regression testing of programs that have assertions using fuzzy logic. The main objective of this approach is to prioritize the test cases according to their estimated potential in violating a given program assertion. To develop the proposed approach, we utilize fuzzy logic techniques to estimate the effectiveness of a given test case in violating an assertion based on the history of the test cases in previous testing operations. We have conducted a case study in which the proposed approach is applied to various programs, and the results are promising compared to untreated and randomly ordered test cases.</t>
  </si>
  <si>
    <t>Custom (9 programs)</t>
  </si>
  <si>
    <t>very simple programs, 19 to 300 loc with assertions within</t>
  </si>
  <si>
    <t>assertions in code?</t>
  </si>
  <si>
    <t>APVA (assertion violations?)</t>
  </si>
  <si>
    <t>S Elbaum, G Rothermel, J Penix</t>
  </si>
  <si>
    <t>FSE 2014: Proceedings of the 22nd ACM SIGSOFT International Symposium on Foundations of Software Engineering</t>
  </si>
  <si>
    <t>Techniques for improving regression testing in continuous integration development environments</t>
  </si>
  <si>
    <t>In continuous integration development environments, software engineers frequently integrate new or changed code with the mainline codebase. This can reduce the amount of code rework that is needed as systems evolve and speed up development time. While continuous integration processes traditionally require that extensive testing be performed following the actual submission of code to the codebase, it is also important to ensure that enough testing is performed prior to code submission to avoid breaking builds and delaying the fast feedback that makes continuous integration desirable. In this work, we present algorithms that make continuous integration processes more cost-effective. In an initial pre-submit phase of testing, developers specify modules to be tested, and we use regression test selection techniques to select a subset of the test suites for those modules that render that phase more cost-effective. In a subsequent post-submit phase of testing, where dependent modules as well as changed modules are tested, we use test case prioritization techniques to ensure that failures are reported more quickly. In both cases, the techniques we utilize are novel, involving algorithms that are relatively inexpensive and do not rely on code coverage information -- two requirements for conducting testing cost-effectively in this context. To evaluate our approach, we conducted an empirical study on a large data set from Google that we make publicly available. The results of our study show that our selection and prioritization techniques can each lead to cost-effectiveness improvements in the continuous integration process.</t>
  </si>
  <si>
    <t>Selection; Prioritization</t>
  </si>
  <si>
    <t>History-based;</t>
  </si>
  <si>
    <t>Google Dataset</t>
  </si>
  <si>
    <t>3.5M records of test suite executions at google</t>
  </si>
  <si>
    <t>execution times and status of tests</t>
  </si>
  <si>
    <t>Fault-detection capability; APFD</t>
  </si>
  <si>
    <t>dataset available</t>
  </si>
  <si>
    <t>MA Rahman, MA Hasan, MS Siddik</t>
  </si>
  <si>
    <t>Int. Journal of Computer Applications, 2018</t>
  </si>
  <si>
    <t>Prioritizing dissimilar test cases in regression testing using historical failure data</t>
  </si>
  <si>
    <t>Test case prioritization assigns new order of test cases for detecting regression faults at early. In regression testing when new version is released, all the test cases of both previous and current versions are executed to ensure the desired functionality. This process increases the volume of test cases in regression testing, which is expensive and time consuming. That is why the test cases are needed to be reordered for exploring maximum faults in minimum test cases execution. Usually test case prioritization techniques are designed based on source code coverage, requirements clustering, etc. Most of these techniques contain the similarity relationship among the test cases. However, similarity based technique may stuck in local minima. To overcome the limitation of similarity based prioritization, this paper proposed the dissimilar clustering based approach using historical data analysis to detect maximum faults. In this approach, dissimilar test cases placed in the top of the test suites and executed earlier than similar test cases. Proposed scheme is evaluated using well established Defects4j dataset, and it has reported that proposed strategy performs 54.95%, 41.83% and 7.00% better than untreated (normal ordering), random and similarity cluster based prioritization methods respectively.</t>
  </si>
  <si>
    <t xml:space="preserve">Prioritization; </t>
  </si>
  <si>
    <t>seeded faults</t>
  </si>
  <si>
    <t>no code nor artifacts (dataset public)</t>
  </si>
  <si>
    <t>Zhichao Chen, Junjie Chen, Weijing Wang, Jianyi Zhou, Meng Wang, Xiang Chen, Shan Zhou, Jianmin Wang</t>
  </si>
  <si>
    <t>ACM Transactions on Software Engineering and Methodology, Volume 32, Issue 3</t>
  </si>
  <si>
    <t>Exploring Better Black-Box Test Case Prioritization via Log Analysis</t>
  </si>
  <si>
    <t>Test case prioritization (TCP) has been widely studied in regression testing, which aims to optimize the execution order of test cases so as to detect more faults earlier. TCP has been divided into white-box test case prioritization (WTCP) and black-box test case prioritization (BTCP). WTCP can achieve better prioritization effectiveness by utilizing source code information, but is not applicable in many practical scenarios (where source code is unavailable, e.g., outsourced testing). BTCP has the benefit of not relying on source code information, but tends to be less effective than WTCP. That is, both WTCP and BTCP suffer from limitations in the practical use.
To improve the practicability of TCP, we aim to explore better BTCP, significantly bridging the effectiveness gap between BTCP and WTCP. In this work, instead of statically analyzing test cases themselves in existing BTCP techniques, we conduct the first study to explore whether this goal can be achieved via log analysis. Specifically, we propose to mine test logs produced during test execution to more sufficiently reflect test behaviors, and design a new BTCP framework (called LogTCP), including log pre-processing, log representation, and test case prioritization components. Based on the LogTCP framework, we instantiate seven log-based BTCP techniques by combining different log representation strategies with different prioritization strategies.
We conduct an empirical study to explore the effectiveness of LogTCP. Based on 10 diverse open-source Java projects from GitHub, we compared LogTCP with three representative BTCP techniques and four representative WTCP techniques. Our results show that all of our LogTCP techniques largely perform better than all the BTCP techniques in average fault detection, to the extent that they become competitive to the WTCP techniques. That demonstrates the great potential of logs in practical TCP.</t>
  </si>
  <si>
    <t>Heuristic-based (multiple variants)</t>
  </si>
  <si>
    <t>Custom (10 projects from github)</t>
  </si>
  <si>
    <t>10 projects from github, different domains, locs from 6k to 200k</t>
  </si>
  <si>
    <t>possibility of getting logs (not possible in defect 4j)</t>
  </si>
  <si>
    <t xml:space="preserve">artifacts available on github </t>
  </si>
  <si>
    <t>SW Thomas, H Hemmati, AE Hassan, D Blostein</t>
  </si>
  <si>
    <t>Empirical Software Engineering, 2014</t>
  </si>
  <si>
    <t>Static test case prioritization using topic models</t>
  </si>
  <si>
    <t>Software development teams use test suites to test changes to their source code. In many situations, the test suites are so large that executing every test for every source code change is infeasible, due to time and resource constraints. Development teams need to prioritize their test suite so that as many distinct faults as possible are detected early in the execution of the test suite. We consider the problem of static black-box test case prioritization (TCP), where test suites are prioritized without the availability of the source code of the system under test (SUT). We propose a new static black-box TCP technique that represents test cases using a previously unused data source in the test suite: the linguistic data of the test cases, i.e., their identifier names, comments, and string literals. Our technique applies a text analysis algorithm called topic modeling to the linguistic data to approximate the functionality of each test case, allowing our technique to give high priority to test cases that test different functionalities of the SUT. We compare our proposed technique with existing static black-box TCP techniques in a case study of multiple real-world open source systems: several versions of Apache Ant and Apache Derby. We find that our static black-box TCP technique outperforms existing static black-box TCP techniques, and has comparable or better performance than two existing execution-based TCP techniques. Static black-box TCP methods are widely applicable because the only input they require is the source code of the test cases themselves. This contrasts with other TCP techniques which require access to the SUT runtime behavior, to the SUT specification models, or to the SUT source code.</t>
  </si>
  <si>
    <t>Several version of Apache Ant and Apache Derby</t>
  </si>
  <si>
    <t>availability of text data</t>
  </si>
  <si>
    <t>artifacts not found</t>
  </si>
  <si>
    <t>MG Epitropakis, S Yoo, M Harman, EK Burke</t>
  </si>
  <si>
    <t>Proceedings of the 2015 International Symposium on Software Testing and Analysis, 2015</t>
  </si>
  <si>
    <t>Empirical evaluation of pareto efficient multi-objective regression test case prioritisation</t>
  </si>
  <si>
    <t>The aim of test case prioritisation is to determine an ordering of test cases that maximises the likelihood of early fault revelation. Previous prioritisation techniques have tended to be single objective, for which the additional greedy algorithm is the current state-of-the-art. Unlike test suite minimisation, multi objective test case prioritisation has not been thoroughly evaluated. This paper presents an extensive empirical study of the effectiveness of multi objective test case prioritisation, evaluating it on multiple versions of five widely-used benchmark programs and a much larger real world system of over 1 million lines of code. The paper also presents a lossless coverage compaction algorithm that dramatically scales the performance of all algorithms studied by between 2 and 4 orders of magnitude, making prioritisation practical for even very demanding problems.</t>
  </si>
  <si>
    <t>Multi-</t>
  </si>
  <si>
    <t>Custom (PARTLY FROM SIR)</t>
  </si>
  <si>
    <t>Six c/c++ software including mysql (largest one); TC ranging from 200 to 2k; LOC from 5k to 1M</t>
  </si>
  <si>
    <t>APFD_C</t>
  </si>
  <si>
    <t>some results still avilable on custom link https://www.epitropakis.co.uk/issta2015/</t>
  </si>
  <si>
    <t>A Sharif, D Marijan, M Liaaen</t>
  </si>
  <si>
    <t>2021 IEEE International Conference on Software Maintenance and Evolution (ICSME)</t>
  </si>
  <si>
    <t>Deeporder: Deep learning for test case prioritization in continuous integration testing</t>
  </si>
  <si>
    <t>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t>
  </si>
  <si>
    <t>ML-based (Deep Learning)</t>
  </si>
  <si>
    <t>GSDTSR, ABB Robotics, One Proprietary by CISCO</t>
  </si>
  <si>
    <t>Multiple apps, different domains, executions from CI-like envs</t>
  </si>
  <si>
    <t>history data</t>
  </si>
  <si>
    <t>APDF and NAPFD</t>
  </si>
  <si>
    <t>originally available on github, now 404</t>
  </si>
  <si>
    <t>X Wang, S Zhang</t>
  </si>
  <si>
    <t>Information and Software Technology, 2024</t>
  </si>
  <si>
    <t>Cluster-based adaptive test case prioritization</t>
  </si>
  <si>
    <t>In order to enhance the efficiency of regression testing, test case prioritization (TCP) has been widely implemented, wherein a higher priority test case is executed earlier. Traditional TCP methods focus on improving the prioritization algorithm's efficacy. However, the majority of TCP approaches are characterized by a predetermined sequence of test cases prior to execution. Once established, this sequence remains consistent throughout the entire test execution process. As a result, any execution information generated during current test execution (such as fault-detected information) is unavailable for use in current round of test case prioritization and can only be utilized in subsequent regression testing. To address the issue of lagging utilization of fault-detected information, a cluster-based adaptive test case prioritization approach is proposed, which adds the new adaptive adjustment content in pre-prioritization. First, a new clustering criterion is defined and designed, by which produces test-case clusters in advance. Second, an adaptive TCP algorithm is proposed, which utilizes fault-detected information to adaptively adjust the order of test cases during the execution process based on the test-case clusters. Finally, one open-source Java program and three industrial-grade Java programs were selected for empirical evaluation. The experimental results demonstrate that the proposed technique not only serves as an enhanced version of pre-prioritization to improve the performance of the corresponding pre-prioritization technique, but also functions as an independent approach that outperforms other TCP techniques, including cluster-based TCPs, and another adaptive TCP. Specifically, when step=2 is applied using our cluster-based adaptive TCP approach, the results are significantly better than those obtained with step=1. For instance, in CT-14, the median APFD improvement rate for step=2 reaches 17.08 %, which is substantially higher than that achieved with step=1 (5.48 %).</t>
  </si>
  <si>
    <t>ML-based (clustering-unsupervised); Heuristic-based</t>
  </si>
  <si>
    <t>SIR (4 projects)</t>
  </si>
  <si>
    <t>9 to 51 tests, heterogeneous domain</t>
  </si>
  <si>
    <t>seeded faults, history</t>
  </si>
  <si>
    <t>APFD; APFD_C</t>
  </si>
  <si>
    <t>available upon request</t>
  </si>
  <si>
    <t>S Biswas, R Rathi, A Dutta, P Mitra, R Mall</t>
  </si>
  <si>
    <t>International Journal of System Assurance Engineering and Management, 2022</t>
  </si>
  <si>
    <t>A regression test case prioritization technique targeting 'hard to detect'faults</t>
  </si>
  <si>
    <t>We propose a novel regression test case prioritization technique targeting to detect ‘hard to detect’ faults. A ‘hard to detect fault’ is a fault that is detected by only one test case. In our technique, we first seed a large number of bugs into a program to create mutants. Each mutant is executed with the test suite and their execution results are recorded in a fault matrix. Using the fault matrix, we first prioritize the test cases based on their ‘hard to detect’ values. Our technique assigns higher priority to those test cases which reveal bugs in a program-component that are hard to expose. Subsequently, the remaining test cases are prioritized based on their fault detection capability. Our experimental results show that on an average our proposed TCP technique performs 43.82% better than existing TCP techniques.</t>
  </si>
  <si>
    <t>Other; History-based</t>
  </si>
  <si>
    <t>Defects4J and SIR (22 projects)</t>
  </si>
  <si>
    <t>Different domains, ranging from 80 to 190k LOC, 15 to 1300 tests)</t>
  </si>
  <si>
    <t>not very high quality work</t>
  </si>
  <si>
    <t>Aitor Arrieta, Joseba Andoni Agirre, Goiuria Sagardui</t>
  </si>
  <si>
    <t>GECCO '20: Proceedings of the 2020 Genetic and Evolutionary Computation Conference</t>
  </si>
  <si>
    <t>Seeding strategies for multi-objective test case selection: an application on simulation-based testing</t>
  </si>
  <si>
    <t>The time it takes software systems to be tested is usually long. This is often caused by the time it takes the entire test suite to be executed. To optimize this, regression test selection approaches have allowed for improvements to the cost-effectiveness of verification and validation activities in the software industry. In this area, multi-objective algorithms have played a key role in selecting the appropriate subset of test cases from the entire test suite. In this paper, we propose a set of seeding strategies for the test case selection problem that generate the initial population of multi-objective algorithms. We integrated these seeding strategies with an NSGA-II algorithm for solving the test case selection problem in the context of simulation-based testing. We evaluated the strategies with six case studies and a total of 21 fitness combinations for each case study (i.e., a total of 126 problems). Our evaluation suggests that these strategies are indeed helpful for solving the multi-objective test case selection problem. In fact, two of the proposed seeding strategies outperformed the NSGA-II algorithm without seeding population with statistical significance for 92.8 and 96% of the problems.</t>
  </si>
  <si>
    <t>Custom (simulation.-based testing)</t>
  </si>
  <si>
    <t>Six simulink models (120 to 150 tests)</t>
  </si>
  <si>
    <t>APFD_c</t>
  </si>
  <si>
    <t>Alessandro Marchetto; Md. Mahfuzul Islam; Waseem Asghar; Angelo Susi; Giuseppe Scanniello</t>
  </si>
  <si>
    <t>A Multi-Objective Technique to Prioritize Test Cases</t>
  </si>
  <si>
    <t>While performing regression testing, an appropriate choice for test case ordering allows the tester to early discover faults in source code. To this end, test case prioritization techniques can be used. Several existing test case prioritization techniques leave out the execution cost of test cases and exploit a single objective function (e.g., code or requirements coverage). In this paper, we present a multi-objective test case prioritization technique that determines the ordering of test cases that maximize the number of discovered faults that are both technical and business critical. In other words, our new technique aims at both early discovering faults and reducing the execution cost of test cases. To this end, we automatically recover links among software artifacts (i.e., requirements specifications, test cases, and source code) and apply a metric-based approach to automatically identify critical and fault-prone portions of software artifacts, thus becoming able to give them more importance during test case prioritization. We experimentally evaluated our technique on 21 Java applications. The obtained results support our hypotheses on efficiency and effectiveness of our new technique and on the use of automatic artifacts analysis and weighting in test case prioritization.</t>
  </si>
  <si>
    <t>21 apps from different domains (open source), loc from 2k to 138k, tests from 33 to 2,3k</t>
  </si>
  <si>
    <t>Qi Luo, Kevin Moran, Denys Poshyvanyk</t>
  </si>
  <si>
    <t>A large-scale empirical comparison of static and dynamic test case prioritization techniques</t>
  </si>
  <si>
    <t>The large body of existing research in Test Case Prioritization (TCP) techniques, can be broadly classified into two categories: dynamic techniques (that rely on run-time execution information) and static techniques (that operate directly on source and test code). Absent from this current body of work is a comprehensive study aimed at understanding and evaluating the static approaches and comparing them to dynamic approaches on a large set of projects.
In this work, we perform the first extensive study aimed at empirically evaluating four static TCP techniques comparing them with state-of-research dynamic TCP techniques at different test-case granularities (e.g., method and class-level) in terms of effectiveness, efficiency and similarity of faults detected. This study was performed on 30 real-word Java programs encompassing 431 KLoC. In terms of effectiveness, we find that the static call-graph-based technique outperforms the other static techniques at test-class level, but the topic-model-based technique performs better at test-method level. In terms of efficiency, the static call-graph-based technique is also the most efficient when compared to other static techniques. When examining the similarity of faults detected for the four static techniques compared to the four dynamic ones, we find that on average, the faults uncovered by these two groups of techniques are quite dissimilar, with the top 10% of test cases agreeing on only 25% - 30% of detected faults. This prompts further research into the severity/importance of faults uncovered by these techniques, and into the potential for combining static and dynamic information for more effective approaches.</t>
  </si>
  <si>
    <t>30 Java program from github, different domains, locs from  3k to 80k</t>
  </si>
  <si>
    <t>ponline appendix: https://www.cs.wm.edu/semeru/data/FSE16-TCPSTUDY/#tools</t>
  </si>
  <si>
    <t>Feng Li; Jianyi Zhou; Yinzhu Li; Dan Hao; Lu Zhang</t>
  </si>
  <si>
    <t>AGA: An Accelerated Greedy Additional Algorithm for Test Case Prioritization</t>
  </si>
  <si>
    <t>In recent years, many test case prioritization (TCP) techniques have been proposed to speed up the process of fault detection. However, little work has taken the efficiency problem of these techniques into account. In this paper, we target the Greedy Additional (GA) algorithm, which has been widely recognized to be effective but less efficient, and try to improve its efficiency while preserving effectiveness. In our Accelerated GA (AGA) algorithm, we use some extra data structures to reduce redundant data accesses in the GA algorithm and thus the time complexity is reduced from O(m2n) to O(kmn) when n&gt;m, where m is the number of test cases, n is the number of program elements, and k is the iteration number. Moreover, we observe the impact of iteration numbers on prioritization efficiency on our dataset and propose to use a specific iteration number in the AGA algorithm to further improve the efficiency. We conducted experiments on 55 open-source subjects. In particular, we implemented each TCP algorithm with two kinds of widely-used input formats, adjacency matrix and adjacency list. Since a TCP algorithm with adjacency matrix is less efficient than the algorithm with adjacency list, the result analysis is mainly conducted based on TCP algorithms with adjacency list. The results show that AGA achieves 5.95X speedup ratio over GA on average, while it achieves the same average effectiveness as GA in terms of Average Percentage of Fault Detected (APFD). Moreover, we conducted an industrial case study on 22 subjects, collected from Baidu, and find that the average speedup ratio of AGA over GA is 44.27X, which indicates the practical usage of AGA in real-world scenarios.</t>
  </si>
  <si>
    <t>Heuristic (greedy)</t>
  </si>
  <si>
    <t>55 java projects from github</t>
  </si>
  <si>
    <t>APFD, time effectiveness</t>
  </si>
  <si>
    <t>figshare</t>
  </si>
  <si>
    <t>Anno</t>
  </si>
  <si>
    <t>PS_Valido</t>
  </si>
  <si>
    <t>Minimization</t>
  </si>
  <si>
    <t>Totale_PS</t>
  </si>
  <si>
    <t>Tot</t>
  </si>
  <si>
    <t>coverage,history,requirements,cost</t>
  </si>
  <si>
    <t>analisi prioritization</t>
  </si>
  <si>
    <t>classe</t>
  </si>
  <si>
    <t>#papers</t>
  </si>
  <si>
    <t>titoli</t>
  </si>
  <si>
    <t>anni</t>
  </si>
  <si>
    <t>coverage</t>
  </si>
  <si>
    <t>requirements</t>
  </si>
  <si>
    <t>probabilistic</t>
  </si>
  <si>
    <t>distribution</t>
  </si>
  <si>
    <t>clustering</t>
  </si>
  <si>
    <t>history</t>
  </si>
  <si>
    <t>model</t>
  </si>
  <si>
    <t>cost-aware</t>
  </si>
  <si>
    <t>similarity</t>
  </si>
  <si>
    <t>input</t>
  </si>
  <si>
    <t>structure</t>
  </si>
  <si>
    <t>change</t>
  </si>
  <si>
    <t>ml</t>
  </si>
  <si>
    <t>heuristic</t>
  </si>
  <si>
    <t>search</t>
  </si>
  <si>
    <t>transfer</t>
  </si>
  <si>
    <t>nlp</t>
  </si>
  <si>
    <t>design</t>
  </si>
  <si>
    <t>selection</t>
  </si>
  <si>
    <t>integer</t>
  </si>
  <si>
    <t>data-flow</t>
  </si>
  <si>
    <t>symbolic</t>
  </si>
  <si>
    <t>dynamic</t>
  </si>
  <si>
    <t>graph</t>
  </si>
  <si>
    <t>textual</t>
  </si>
  <si>
    <t>sdg</t>
  </si>
  <si>
    <t>path</t>
  </si>
  <si>
    <t>mod</t>
  </si>
  <si>
    <t>firewall</t>
  </si>
  <si>
    <t>cluster</t>
  </si>
  <si>
    <t>hybrid</t>
  </si>
  <si>
    <t>detection</t>
  </si>
  <si>
    <t>others</t>
  </si>
  <si>
    <t>minimization</t>
  </si>
  <si>
    <t>search-based</t>
  </si>
  <si>
    <t>others+</t>
  </si>
  <si>
    <t>grafico p</t>
  </si>
  <si>
    <t>anno</t>
  </si>
  <si>
    <t>risk</t>
  </si>
  <si>
    <t>dati selection</t>
  </si>
  <si>
    <t>prioritization</t>
  </si>
  <si>
    <t>metaheuristic</t>
  </si>
  <si>
    <t>rule</t>
  </si>
  <si>
    <t>dependency</t>
  </si>
  <si>
    <t>quantum</t>
  </si>
  <si>
    <t>genetic</t>
  </si>
  <si>
    <t>greedy</t>
  </si>
  <si>
    <t>ee</t>
  </si>
  <si>
    <t>Execution Time</t>
  </si>
  <si>
    <t>Requirements-based</t>
  </si>
  <si>
    <t>Distribution-based</t>
  </si>
  <si>
    <t>Clustering-based</t>
  </si>
  <si>
    <t>Cost-aware</t>
  </si>
  <si>
    <t>Similarity-based</t>
  </si>
  <si>
    <t>Risk-based</t>
  </si>
  <si>
    <t>NLP-based</t>
  </si>
  <si>
    <t>Design-based</t>
  </si>
  <si>
    <t>Integer Programming</t>
  </si>
  <si>
    <t>Data-flow Analysis</t>
  </si>
  <si>
    <t>Symbolic Execution</t>
  </si>
  <si>
    <t>Dynamic clicing-based</t>
  </si>
  <si>
    <t>Textual difference</t>
  </si>
  <si>
    <t>SDG slicing</t>
  </si>
  <si>
    <t>Path analysis</t>
  </si>
  <si>
    <t>Modification-aware</t>
  </si>
  <si>
    <t>Firewall</t>
  </si>
  <si>
    <t>Cluster identification</t>
  </si>
  <si>
    <t>Hybrid</t>
  </si>
  <si>
    <t>Selection-based</t>
  </si>
  <si>
    <t>Detection-based</t>
  </si>
  <si>
    <t>Hystory-based</t>
  </si>
  <si>
    <t>Machine Learning-based</t>
  </si>
  <si>
    <t>Rule-based</t>
  </si>
  <si>
    <t>Dependency-based</t>
  </si>
  <si>
    <t>Quantum-based</t>
  </si>
  <si>
    <t>Genetic-based</t>
  </si>
  <si>
    <t>Graph-based</t>
  </si>
  <si>
    <t>Greedy</t>
  </si>
  <si>
    <t>Dynamic Programming</t>
  </si>
  <si>
    <t>Genetic Algorithm</t>
  </si>
  <si>
    <t>Greedy Algorithm</t>
  </si>
  <si>
    <t>Transfer Learning-based</t>
  </si>
  <si>
    <t>AI-based</t>
  </si>
  <si>
    <t>algorithm</t>
  </si>
  <si>
    <t>#multi obj</t>
  </si>
  <si>
    <t>#single obj</t>
  </si>
  <si>
    <t>totale</t>
  </si>
  <si>
    <t xml:space="preserve">Coverage-based </t>
  </si>
  <si>
    <t>distribution,history</t>
  </si>
  <si>
    <t xml:space="preserve">human </t>
  </si>
  <si>
    <t>distribution-based</t>
  </si>
  <si>
    <t>coverage,cost</t>
  </si>
  <si>
    <t>Model-based prioritization, coverage-based</t>
  </si>
  <si>
    <t>Search-based, Cost-aware, coverage</t>
  </si>
  <si>
    <t xml:space="preserve"> Cost-aware </t>
  </si>
  <si>
    <t>Probability-based;</t>
  </si>
  <si>
    <t xml:space="preserve"> Coverage-based</t>
  </si>
  <si>
    <t>Modification-based,</t>
  </si>
  <si>
    <t>graph-walk</t>
  </si>
  <si>
    <t>integer programming</t>
  </si>
  <si>
    <t xml:space="preserve">Design-based </t>
  </si>
  <si>
    <t>Design-based;</t>
  </si>
  <si>
    <t>graph-based</t>
  </si>
  <si>
    <t xml:space="preserve">Heuristic-based </t>
  </si>
  <si>
    <r>
      <t>ML-based / IR-based</t>
    </r>
    <r>
      <rPr>
        <sz val="14"/>
        <color rgb="FFFF0000"/>
        <rFont val="-webkit-standard"/>
      </rPr>
      <t>: Utilizza tecniche di Machine Learning, Information Retrieval, o Natural Language Processing per prioritizzare/selezionare test case. Include approcci basati su topic modeling (LDA), recommender systems, TF-IDF, similarity measures su testo/codice, clustering, classification, etc.</t>
    </r>
  </si>
  <si>
    <t>ML-based Transfer Learning-based</t>
  </si>
  <si>
    <t>Heuristic-based greedy</t>
  </si>
  <si>
    <t>greed y</t>
  </si>
  <si>
    <t xml:space="preserve"> greedy</t>
  </si>
  <si>
    <t>Taxonomy</t>
  </si>
  <si>
    <t>Ml-based</t>
  </si>
  <si>
    <t>Non-Clustering-based</t>
  </si>
  <si>
    <t>Data-flow analysis</t>
  </si>
  <si>
    <t>Dynamic slicing-based</t>
  </si>
  <si>
    <t>meta-heuristic-based</t>
  </si>
  <si>
    <t>meta-heuristic</t>
  </si>
  <si>
    <t>greed heuristic graph meta-heuristic</t>
  </si>
  <si>
    <t>meta-heuristic-based heuristic-based</t>
  </si>
  <si>
    <t>greedy meta-heuristic</t>
  </si>
  <si>
    <t>Heuristic-based meta-heuristic</t>
  </si>
  <si>
    <t>Heuristic greedy meta-heuristic</t>
  </si>
  <si>
    <t xml:space="preserve"> </t>
  </si>
  <si>
    <t>numero test selezionati</t>
  </si>
  <si>
    <t>cost-aware, history-based</t>
  </si>
  <si>
    <t>prioritization:</t>
  </si>
  <si>
    <t>Code-coverage</t>
  </si>
  <si>
    <t>Number of Faults Detected / FDR</t>
  </si>
  <si>
    <t>Time-Based / Cost-Aware</t>
  </si>
  <si>
    <t>Precision/Recall/F-Measure</t>
  </si>
  <si>
    <t>Other</t>
  </si>
  <si>
    <t xml:space="preserve">Number of Test Cases / Ratio </t>
  </si>
  <si>
    <t>Time-based</t>
  </si>
  <si>
    <t>Safety / Fault-Detection Capability</t>
  </si>
  <si>
    <t>SUT</t>
  </si>
  <si>
    <t>count</t>
  </si>
  <si>
    <t>Defect4J</t>
  </si>
  <si>
    <t>Apache Project</t>
  </si>
  <si>
    <t>Insustrial/Proprietary</t>
  </si>
  <si>
    <t>Other Public Repository</t>
  </si>
  <si>
    <t>ciunt</t>
  </si>
  <si>
    <t>Total</t>
  </si>
  <si>
    <t>Meta-heuristic-based</t>
  </si>
  <si>
    <t>No Replication</t>
  </si>
  <si>
    <t>Partial Replication</t>
  </si>
  <si>
    <t>Full Replication</t>
  </si>
  <si>
    <t>Category</t>
  </si>
  <si>
    <t>Count</t>
  </si>
  <si>
    <t>Dataset</t>
  </si>
  <si>
    <t>Industrial/Proprietary</t>
  </si>
  <si>
    <t>Apache Projects</t>
  </si>
  <si>
    <t>pubtype</t>
  </si>
  <si>
    <t>IDQ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</si>
</sst>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rgb="FF9C0006"/>
      <name val="Aptos Narrow"/>
      <family val="2"/>
      <scheme val="minor"/>
    </font>
    <font>
      <b/>
      <sz val="11"/>
      <color theme="1"/>
      <name val="Aptos Narrow"/>
      <family val="2"/>
      <scheme val="minor"/>
    </font>
    <font>
      <sz val="11"/>
      <color rgb="FF000000"/>
      <name val="Calibri"/>
      <family val="2"/>
    </font>
    <font>
      <sz val="11"/>
      <color rgb="FF7B7B7B"/>
      <name val="Calibri"/>
      <family val="2"/>
    </font>
    <font>
      <i/>
      <sz val="11"/>
      <color rgb="FF7B7B7B"/>
      <name val="Calibri"/>
      <family val="2"/>
    </font>
    <font>
      <sz val="11"/>
      <color rgb="FFF0F0A5"/>
      <name val="Aptos Narrow"/>
      <family val="2"/>
      <scheme val="minor"/>
    </font>
    <font>
      <u/>
      <sz val="12"/>
      <color theme="10"/>
      <name val="Aptos Narrow"/>
      <family val="2"/>
      <scheme val="minor"/>
    </font>
    <font>
      <b/>
      <sz val="12"/>
      <color rgb="FF000000"/>
      <name val="Aptos Narrow"/>
      <family val="2"/>
      <scheme val="minor"/>
    </font>
    <font>
      <b/>
      <sz val="12"/>
      <color theme="1"/>
      <name val="Aptos Narrow"/>
      <scheme val="minor"/>
    </font>
    <font>
      <sz val="14"/>
      <color rgb="FFABB2BF"/>
      <name val="Menlo"/>
      <family val="2"/>
    </font>
    <font>
      <sz val="14"/>
      <color theme="1"/>
      <name val="Menlo"/>
      <family val="2"/>
    </font>
    <font>
      <b/>
      <sz val="12"/>
      <color theme="1"/>
      <name val="Aptos Narrow"/>
      <family val="2"/>
      <scheme val="minor"/>
    </font>
    <font>
      <b/>
      <sz val="12"/>
      <color rgb="FFFF0000"/>
      <name val="Aptos Narrow"/>
      <family val="2"/>
      <scheme val="minor"/>
    </font>
    <font>
      <sz val="14"/>
      <color rgb="FFFF0000"/>
      <name val="-webkit-standard"/>
    </font>
    <font>
      <sz val="12"/>
      <color rgb="FF000000"/>
      <name val="Aptos Narrow"/>
      <family val="2"/>
      <scheme val="minor"/>
    </font>
  </fonts>
  <fills count="7">
    <fill>
      <patternFill patternType="none"/>
    </fill>
    <fill>
      <patternFill patternType="gray125"/>
    </fill>
    <fill>
      <patternFill patternType="solid">
        <fgColor rgb="FFFFC7CE"/>
      </patternFill>
    </fill>
    <fill>
      <patternFill patternType="solid">
        <fgColor rgb="FFEDEDED"/>
        <bgColor rgb="FFEDEDED"/>
      </patternFill>
    </fill>
    <fill>
      <patternFill patternType="solid">
        <fgColor theme="0"/>
        <bgColor indexed="64"/>
      </patternFill>
    </fill>
    <fill>
      <patternFill patternType="solid">
        <fgColor rgb="FFF0F0A5"/>
        <bgColor indexed="64"/>
      </patternFill>
    </fill>
    <fill>
      <patternFill patternType="solid">
        <fgColor theme="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auto="1"/>
      </left>
      <right style="thin">
        <color auto="1"/>
      </right>
      <top/>
      <bottom/>
      <diagonal/>
    </border>
  </borders>
  <cellStyleXfs count="3">
    <xf numFmtId="0" fontId="0" fillId="0" borderId="0"/>
    <xf numFmtId="0" fontId="1" fillId="2" borderId="0" applyNumberFormat="0" applyBorder="0" applyAlignment="0" applyProtection="0"/>
    <xf numFmtId="0" fontId="7" fillId="0" borderId="0" applyNumberFormat="0" applyFill="0" applyBorder="0" applyAlignment="0" applyProtection="0"/>
  </cellStyleXfs>
  <cellXfs count="44">
    <xf numFmtId="0" fontId="0" fillId="0" borderId="0" xfId="0"/>
    <xf numFmtId="0" fontId="2"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5" fillId="4" borderId="3"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wrapText="1"/>
    </xf>
    <xf numFmtId="0" fontId="4" fillId="4" borderId="5" xfId="0" applyFont="1" applyFill="1" applyBorder="1" applyAlignment="1">
      <alignment horizontal="center" vertical="center"/>
    </xf>
    <xf numFmtId="0" fontId="5" fillId="4" borderId="5" xfId="0" applyFont="1" applyFill="1" applyBorder="1" applyAlignment="1">
      <alignment horizontal="center" vertical="center"/>
    </xf>
    <xf numFmtId="0" fontId="6" fillId="5" borderId="3" xfId="0" applyFont="1" applyFill="1" applyBorder="1" applyAlignment="1">
      <alignment horizontal="center" vertical="center"/>
    </xf>
    <xf numFmtId="0" fontId="0" fillId="5" borderId="3" xfId="0"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0" fillId="5" borderId="0" xfId="0" applyFill="1"/>
    <xf numFmtId="0" fontId="4" fillId="3" borderId="1" xfId="0" applyFont="1" applyFill="1" applyBorder="1" applyAlignment="1">
      <alignment horizontal="center" vertical="center"/>
    </xf>
    <xf numFmtId="0" fontId="4" fillId="0" borderId="1" xfId="0" applyFont="1" applyBorder="1" applyAlignment="1">
      <alignment wrapText="1"/>
    </xf>
    <xf numFmtId="0" fontId="4" fillId="0" borderId="1" xfId="0" applyFont="1" applyBorder="1"/>
    <xf numFmtId="0" fontId="0" fillId="0" borderId="0" xfId="0"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7" fillId="0" borderId="0" xfId="2" applyAlignment="1" applyProtection="1">
      <alignment vertical="center" wrapText="1"/>
    </xf>
    <xf numFmtId="0" fontId="7" fillId="0" borderId="0" xfId="2" applyAlignment="1" applyProtection="1">
      <alignment vertical="center"/>
    </xf>
    <xf numFmtId="0" fontId="1" fillId="2" borderId="0" xfId="1" applyAlignment="1">
      <alignment wrapText="1"/>
    </xf>
    <xf numFmtId="0" fontId="2" fillId="0" borderId="0" xfId="0" applyFont="1" applyAlignment="1">
      <alignment horizontal="center" vertical="top" wrapText="1"/>
    </xf>
    <xf numFmtId="0" fontId="8" fillId="0" borderId="0" xfId="0" applyFont="1"/>
    <xf numFmtId="0" fontId="9" fillId="0" borderId="0" xfId="0" applyFont="1"/>
    <xf numFmtId="0" fontId="10" fillId="0" borderId="0" xfId="0" applyFont="1"/>
    <xf numFmtId="0" fontId="11" fillId="0" borderId="0" xfId="0" applyFont="1"/>
    <xf numFmtId="0" fontId="13" fillId="6" borderId="0" xfId="0" applyFont="1" applyFill="1"/>
    <xf numFmtId="0" fontId="15" fillId="0" borderId="0" xfId="0" applyFont="1"/>
    <xf numFmtId="0" fontId="12" fillId="0" borderId="0" xfId="0" applyFont="1"/>
    <xf numFmtId="0" fontId="2" fillId="0" borderId="1" xfId="0" applyFont="1" applyBorder="1" applyAlignment="1">
      <alignment horizontal="center" vertical="top"/>
    </xf>
    <xf numFmtId="0" fontId="3" fillId="0" borderId="0" xfId="0" applyFont="1"/>
    <xf numFmtId="0" fontId="1" fillId="2" borderId="0" xfId="1" applyAlignment="1"/>
    <xf numFmtId="0" fontId="2" fillId="0" borderId="6" xfId="0" applyFont="1" applyBorder="1" applyAlignment="1">
      <alignment horizontal="center" vertical="top"/>
    </xf>
    <xf numFmtId="0" fontId="0" fillId="0" borderId="0" xfId="0" applyAlignment="1">
      <alignment horizontal="center" vertical="center" wrapText="1"/>
    </xf>
  </cellXfs>
  <cellStyles count="3">
    <cellStyle name="Bad" xfId="1" builtinId="27"/>
    <cellStyle name="Hyperlink" xfId="2" builtinId="8"/>
    <cellStyle name="Normal" xfId="0" builtinId="0"/>
  </cellStyles>
  <dxfs count="37">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raw_data!$FW$36</c:f>
              <c:strCache>
                <c:ptCount val="1"/>
                <c:pt idx="0">
                  <c:v>Integer Programming</c:v>
                </c:pt>
              </c:strCache>
            </c:strRef>
          </c:tx>
          <c:spPr>
            <a:solidFill>
              <a:schemeClr val="accent1"/>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raw_data!$FW$37:$FW$49</c:f>
              <c:numCache>
                <c:formatCode>General</c:formatCode>
                <c:ptCount val="13"/>
                <c:pt idx="0">
                  <c:v>0</c:v>
                </c:pt>
                <c:pt idx="1">
                  <c:v>0</c:v>
                </c:pt>
                <c:pt idx="2">
                  <c:v>0</c:v>
                </c:pt>
                <c:pt idx="3">
                  <c:v>0</c:v>
                </c:pt>
                <c:pt idx="4">
                  <c:v>0</c:v>
                </c:pt>
                <c:pt idx="5">
                  <c:v>3</c:v>
                </c:pt>
                <c:pt idx="6">
                  <c:v>1</c:v>
                </c:pt>
                <c:pt idx="7">
                  <c:v>1</c:v>
                </c:pt>
                <c:pt idx="8">
                  <c:v>0</c:v>
                </c:pt>
                <c:pt idx="9">
                  <c:v>0</c:v>
                </c:pt>
                <c:pt idx="10">
                  <c:v>1</c:v>
                </c:pt>
                <c:pt idx="11">
                  <c:v>0</c:v>
                </c:pt>
                <c:pt idx="12">
                  <c:v>0</c:v>
                </c:pt>
              </c:numCache>
            </c:numRef>
          </c:val>
          <c:extLst>
            <c:ext xmlns:c16="http://schemas.microsoft.com/office/drawing/2014/chart" uri="{C3380CC4-5D6E-409C-BE32-E72D297353CC}">
              <c16:uniqueId val="{00000000-F1FE-404E-BBB4-D59D25BA88A5}"/>
            </c:ext>
          </c:extLst>
        </c:ser>
        <c:ser>
          <c:idx val="1"/>
          <c:order val="1"/>
          <c:tx>
            <c:strRef>
              <c:f>raw_data!$FX$36</c:f>
              <c:strCache>
                <c:ptCount val="1"/>
                <c:pt idx="0">
                  <c:v>Data-flow Analysis</c:v>
                </c:pt>
              </c:strCache>
            </c:strRef>
          </c:tx>
          <c:spPr>
            <a:solidFill>
              <a:schemeClr val="accent2"/>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raw_data!$FX$37:$FX$49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F1FE-404E-BBB4-D59D25BA88A5}"/>
            </c:ext>
          </c:extLst>
        </c:ser>
        <c:ser>
          <c:idx val="2"/>
          <c:order val="2"/>
          <c:tx>
            <c:strRef>
              <c:f>raw_data!$FY$36</c:f>
              <c:strCache>
                <c:ptCount val="1"/>
                <c:pt idx="0">
                  <c:v>Symbolic Execution</c:v>
                </c:pt>
              </c:strCache>
            </c:strRef>
          </c:tx>
          <c:spPr>
            <a:solidFill>
              <a:schemeClr val="bg2">
                <a:lumMod val="75000"/>
              </a:schemeClr>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raw_data!$FY$37:$FY$49</c:f>
              <c:numCache>
                <c:formatCode>General</c:formatCode>
                <c:ptCount val="13"/>
                <c:pt idx="0">
                  <c:v>0</c:v>
                </c:pt>
                <c:pt idx="1">
                  <c:v>0</c:v>
                </c:pt>
                <c:pt idx="2">
                  <c:v>0</c:v>
                </c:pt>
                <c:pt idx="3">
                  <c:v>1</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F1FE-404E-BBB4-D59D25BA88A5}"/>
            </c:ext>
          </c:extLst>
        </c:ser>
        <c:ser>
          <c:idx val="3"/>
          <c:order val="3"/>
          <c:tx>
            <c:strRef>
              <c:f>raw_data!$FZ$36</c:f>
              <c:strCache>
                <c:ptCount val="1"/>
                <c:pt idx="0">
                  <c:v>Dynamic clicing-based</c:v>
                </c:pt>
              </c:strCache>
            </c:strRef>
          </c:tx>
          <c:spPr>
            <a:solidFill>
              <a:schemeClr val="accent4"/>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raw_data!$FZ$37:$FZ$49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F1FE-404E-BBB4-D59D25BA88A5}"/>
            </c:ext>
          </c:extLst>
        </c:ser>
        <c:ser>
          <c:idx val="4"/>
          <c:order val="4"/>
          <c:tx>
            <c:strRef>
              <c:f>raw_data!$GA$36</c:f>
              <c:strCache>
                <c:ptCount val="1"/>
                <c:pt idx="0">
                  <c:v>Graph-walk</c:v>
                </c:pt>
              </c:strCache>
            </c:strRef>
          </c:tx>
          <c:spPr>
            <a:solidFill>
              <a:schemeClr val="accent5"/>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raw_data!$GA$37:$GA$49</c:f>
              <c:numCache>
                <c:formatCode>General</c:formatCode>
                <c:ptCount val="13"/>
                <c:pt idx="0">
                  <c:v>0</c:v>
                </c:pt>
                <c:pt idx="1">
                  <c:v>0</c:v>
                </c:pt>
                <c:pt idx="2">
                  <c:v>0</c:v>
                </c:pt>
                <c:pt idx="3">
                  <c:v>0</c:v>
                </c:pt>
                <c:pt idx="4">
                  <c:v>0</c:v>
                </c:pt>
                <c:pt idx="5">
                  <c:v>1</c:v>
                </c:pt>
                <c:pt idx="6">
                  <c:v>0</c:v>
                </c:pt>
                <c:pt idx="7">
                  <c:v>0</c:v>
                </c:pt>
                <c:pt idx="8">
                  <c:v>0</c:v>
                </c:pt>
                <c:pt idx="9">
                  <c:v>0</c:v>
                </c:pt>
                <c:pt idx="10">
                  <c:v>0</c:v>
                </c:pt>
                <c:pt idx="11">
                  <c:v>1</c:v>
                </c:pt>
                <c:pt idx="12">
                  <c:v>1</c:v>
                </c:pt>
              </c:numCache>
            </c:numRef>
          </c:val>
          <c:extLst>
            <c:ext xmlns:c16="http://schemas.microsoft.com/office/drawing/2014/chart" uri="{C3380CC4-5D6E-409C-BE32-E72D297353CC}">
              <c16:uniqueId val="{00000004-F1FE-404E-BBB4-D59D25BA88A5}"/>
            </c:ext>
          </c:extLst>
        </c:ser>
        <c:ser>
          <c:idx val="5"/>
          <c:order val="5"/>
          <c:tx>
            <c:strRef>
              <c:f>raw_data!$GB$36</c:f>
              <c:strCache>
                <c:ptCount val="1"/>
                <c:pt idx="0">
                  <c:v>Textual difference</c:v>
                </c:pt>
              </c:strCache>
            </c:strRef>
          </c:tx>
          <c:spPr>
            <a:solidFill>
              <a:srgbClr val="FF0000"/>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raw_data!$GB$37:$GB$49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F1FE-404E-BBB4-D59D25BA88A5}"/>
            </c:ext>
          </c:extLst>
        </c:ser>
        <c:ser>
          <c:idx val="6"/>
          <c:order val="6"/>
          <c:tx>
            <c:strRef>
              <c:f>raw_data!$GC$36</c:f>
              <c:strCache>
                <c:ptCount val="1"/>
                <c:pt idx="0">
                  <c:v>SDG slicing</c:v>
                </c:pt>
              </c:strCache>
            </c:strRef>
          </c:tx>
          <c:spPr>
            <a:solidFill>
              <a:srgbClr val="FF0000"/>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raw_data!$GC$37:$GC$49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F1FE-404E-BBB4-D59D25BA88A5}"/>
            </c:ext>
          </c:extLst>
        </c:ser>
        <c:ser>
          <c:idx val="7"/>
          <c:order val="7"/>
          <c:tx>
            <c:strRef>
              <c:f>raw_data!$GD$36</c:f>
              <c:strCache>
                <c:ptCount val="1"/>
                <c:pt idx="0">
                  <c:v>Path analysis</c:v>
                </c:pt>
              </c:strCache>
            </c:strRef>
          </c:tx>
          <c:spPr>
            <a:solidFill>
              <a:schemeClr val="accent2">
                <a:lumMod val="60000"/>
              </a:schemeClr>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raw_data!$GD$37:$GD$49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F1FE-404E-BBB4-D59D25BA88A5}"/>
            </c:ext>
          </c:extLst>
        </c:ser>
        <c:ser>
          <c:idx val="8"/>
          <c:order val="8"/>
          <c:tx>
            <c:strRef>
              <c:f>raw_data!$GE$36</c:f>
              <c:strCache>
                <c:ptCount val="1"/>
                <c:pt idx="0">
                  <c:v>Modification-aware</c:v>
                </c:pt>
              </c:strCache>
            </c:strRef>
          </c:tx>
          <c:spPr>
            <a:solidFill>
              <a:schemeClr val="bg2">
                <a:lumMod val="10000"/>
              </a:schemeClr>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raw_data!$GE$37:$GE$49</c:f>
              <c:numCache>
                <c:formatCode>General</c:formatCode>
                <c:ptCount val="13"/>
                <c:pt idx="0">
                  <c:v>1</c:v>
                </c:pt>
                <c:pt idx="1">
                  <c:v>1</c:v>
                </c:pt>
                <c:pt idx="2">
                  <c:v>0</c:v>
                </c:pt>
                <c:pt idx="3">
                  <c:v>0</c:v>
                </c:pt>
                <c:pt idx="4">
                  <c:v>0</c:v>
                </c:pt>
                <c:pt idx="5">
                  <c:v>0</c:v>
                </c:pt>
                <c:pt idx="6">
                  <c:v>0</c:v>
                </c:pt>
                <c:pt idx="7">
                  <c:v>0</c:v>
                </c:pt>
                <c:pt idx="8">
                  <c:v>1</c:v>
                </c:pt>
                <c:pt idx="9">
                  <c:v>1</c:v>
                </c:pt>
                <c:pt idx="10">
                  <c:v>0</c:v>
                </c:pt>
                <c:pt idx="11">
                  <c:v>0</c:v>
                </c:pt>
                <c:pt idx="12">
                  <c:v>0</c:v>
                </c:pt>
              </c:numCache>
            </c:numRef>
          </c:val>
          <c:extLst>
            <c:ext xmlns:c16="http://schemas.microsoft.com/office/drawing/2014/chart" uri="{C3380CC4-5D6E-409C-BE32-E72D297353CC}">
              <c16:uniqueId val="{00000008-F1FE-404E-BBB4-D59D25BA88A5}"/>
            </c:ext>
          </c:extLst>
        </c:ser>
        <c:ser>
          <c:idx val="9"/>
          <c:order val="9"/>
          <c:tx>
            <c:strRef>
              <c:f>raw_data!$GF$36</c:f>
              <c:strCache>
                <c:ptCount val="1"/>
                <c:pt idx="0">
                  <c:v>Firewall</c:v>
                </c:pt>
              </c:strCache>
            </c:strRef>
          </c:tx>
          <c:spPr>
            <a:solidFill>
              <a:schemeClr val="accent4">
                <a:lumMod val="60000"/>
              </a:schemeClr>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raw_data!$GF$37:$GF$49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F1FE-404E-BBB4-D59D25BA88A5}"/>
            </c:ext>
          </c:extLst>
        </c:ser>
        <c:ser>
          <c:idx val="10"/>
          <c:order val="10"/>
          <c:tx>
            <c:strRef>
              <c:f>raw_data!$GG$36</c:f>
              <c:strCache>
                <c:ptCount val="1"/>
                <c:pt idx="0">
                  <c:v>Cluster identification</c:v>
                </c:pt>
              </c:strCache>
            </c:strRef>
          </c:tx>
          <c:spPr>
            <a:solidFill>
              <a:schemeClr val="accent5">
                <a:lumMod val="60000"/>
              </a:schemeClr>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raw_data!$GG$37:$GG$49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A-F1FE-404E-BBB4-D59D25BA88A5}"/>
            </c:ext>
          </c:extLst>
        </c:ser>
        <c:ser>
          <c:idx val="11"/>
          <c:order val="11"/>
          <c:tx>
            <c:strRef>
              <c:f>raw_data!$GH$36</c:f>
              <c:strCache>
                <c:ptCount val="1"/>
                <c:pt idx="0">
                  <c:v>Design-based</c:v>
                </c:pt>
              </c:strCache>
            </c:strRef>
          </c:tx>
          <c:spPr>
            <a:solidFill>
              <a:srgbClr val="FFFF00"/>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raw_data!$GH$37:$GH$49</c:f>
              <c:numCache>
                <c:formatCode>General</c:formatCode>
                <c:ptCount val="13"/>
                <c:pt idx="0">
                  <c:v>0</c:v>
                </c:pt>
                <c:pt idx="1">
                  <c:v>0</c:v>
                </c:pt>
                <c:pt idx="2">
                  <c:v>0</c:v>
                </c:pt>
                <c:pt idx="3">
                  <c:v>1</c:v>
                </c:pt>
                <c:pt idx="4">
                  <c:v>1</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B-F1FE-404E-BBB4-D59D25BA88A5}"/>
            </c:ext>
          </c:extLst>
        </c:ser>
        <c:ser>
          <c:idx val="12"/>
          <c:order val="12"/>
          <c:tx>
            <c:strRef>
              <c:f>raw_data!$GI$36</c:f>
              <c:strCache>
                <c:ptCount val="1"/>
                <c:pt idx="0">
                  <c:v>Hybrid</c:v>
                </c:pt>
              </c:strCache>
            </c:strRef>
          </c:tx>
          <c:spPr>
            <a:solidFill>
              <a:srgbClr val="C00000"/>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raw_data!$GI$37:$GI$49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C-F1FE-404E-BBB4-D59D25BA88A5}"/>
            </c:ext>
          </c:extLst>
        </c:ser>
        <c:ser>
          <c:idx val="15"/>
          <c:order val="13"/>
          <c:tx>
            <c:strRef>
              <c:f>raw_data!$GL$36</c:f>
              <c:strCache>
                <c:ptCount val="1"/>
                <c:pt idx="0">
                  <c:v>Coverage-based</c:v>
                </c:pt>
              </c:strCache>
            </c:strRef>
          </c:tx>
          <c:spPr>
            <a:solidFill>
              <a:schemeClr val="accent4">
                <a:lumMod val="80000"/>
                <a:lumOff val="20000"/>
              </a:schemeClr>
            </a:solidFill>
            <a:ln w="25400">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raw_data!$GL$37:$GL$49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F-F1FE-404E-BBB4-D59D25BA88A5}"/>
            </c:ext>
          </c:extLst>
        </c:ser>
        <c:ser>
          <c:idx val="17"/>
          <c:order val="14"/>
          <c:tx>
            <c:strRef>
              <c:f>raw_data!$GN$36</c:f>
              <c:strCache>
                <c:ptCount val="1"/>
                <c:pt idx="0">
                  <c:v>Model-based</c:v>
                </c:pt>
              </c:strCache>
            </c:strRef>
          </c:tx>
          <c:spPr>
            <a:solidFill>
              <a:schemeClr val="accent6">
                <a:lumMod val="80000"/>
                <a:lumOff val="20000"/>
              </a:schemeClr>
            </a:solidFill>
            <a:ln w="25400">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raw_data!$GN$37:$GN$49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1-F1FE-404E-BBB4-D59D25BA88A5}"/>
            </c:ext>
          </c:extLst>
        </c:ser>
        <c:ser>
          <c:idx val="18"/>
          <c:order val="15"/>
          <c:tx>
            <c:strRef>
              <c:f>raw_data!$GO$36</c:f>
              <c:strCache>
                <c:ptCount val="1"/>
                <c:pt idx="0">
                  <c:v>Hystory-based</c:v>
                </c:pt>
              </c:strCache>
            </c:strRef>
          </c:tx>
          <c:spPr>
            <a:solidFill>
              <a:srgbClr val="7030A0"/>
            </a:solidFill>
            <a:ln w="25400">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raw_data!$GO$37:$GO$49</c:f>
              <c:numCache>
                <c:formatCode>General</c:formatCode>
                <c:ptCount val="13"/>
                <c:pt idx="0">
                  <c:v>1</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2-F1FE-404E-BBB4-D59D25BA88A5}"/>
            </c:ext>
          </c:extLst>
        </c:ser>
        <c:ser>
          <c:idx val="19"/>
          <c:order val="16"/>
          <c:tx>
            <c:strRef>
              <c:f>raw_data!$GP$36</c:f>
              <c:strCache>
                <c:ptCount val="1"/>
                <c:pt idx="0">
                  <c:v>Cost-aware</c:v>
                </c:pt>
              </c:strCache>
            </c:strRef>
          </c:tx>
          <c:spPr>
            <a:solidFill>
              <a:schemeClr val="accent2">
                <a:lumMod val="80000"/>
              </a:schemeClr>
            </a:solidFill>
            <a:ln w="25400">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raw_data!$GP$37:$GP$49</c:f>
              <c:numCache>
                <c:formatCode>General</c:formatCode>
                <c:ptCount val="13"/>
                <c:pt idx="0">
                  <c:v>0</c:v>
                </c:pt>
                <c:pt idx="1">
                  <c:v>0</c:v>
                </c:pt>
                <c:pt idx="2">
                  <c:v>0</c:v>
                </c:pt>
                <c:pt idx="3">
                  <c:v>0</c:v>
                </c:pt>
                <c:pt idx="4">
                  <c:v>1</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3-F1FE-404E-BBB4-D59D25BA88A5}"/>
            </c:ext>
          </c:extLst>
        </c:ser>
        <c:ser>
          <c:idx val="20"/>
          <c:order val="17"/>
          <c:tx>
            <c:strRef>
              <c:f>raw_data!$GQ$36</c:f>
              <c:strCache>
                <c:ptCount val="1"/>
                <c:pt idx="0">
                  <c:v>Similarity-based</c:v>
                </c:pt>
              </c:strCache>
            </c:strRef>
          </c:tx>
          <c:spPr>
            <a:solidFill>
              <a:schemeClr val="accent5">
                <a:lumMod val="40000"/>
                <a:lumOff val="60000"/>
              </a:schemeClr>
            </a:solidFill>
            <a:ln w="25400">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raw_data!$GQ$37:$GQ$49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4-F1FE-404E-BBB4-D59D25BA88A5}"/>
            </c:ext>
          </c:extLst>
        </c:ser>
        <c:ser>
          <c:idx val="21"/>
          <c:order val="18"/>
          <c:tx>
            <c:strRef>
              <c:f>raw_data!$GR$36</c:f>
              <c:strCache>
                <c:ptCount val="1"/>
                <c:pt idx="0">
                  <c:v>Others</c:v>
                </c:pt>
              </c:strCache>
            </c:strRef>
          </c:tx>
          <c:spPr>
            <a:solidFill>
              <a:schemeClr val="accent4">
                <a:lumMod val="80000"/>
              </a:schemeClr>
            </a:solidFill>
            <a:ln>
              <a:noFill/>
            </a:ln>
            <a:effectLst/>
          </c:spPr>
          <c:invertIfNegative val="0"/>
          <c:cat>
            <c:numRef>
              <c:f>raw_data!$FV$37:$FV$49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raw_data!$GR$37:$GR$49</c:f>
              <c:numCache>
                <c:formatCode>General</c:formatCode>
                <c:ptCount val="13"/>
                <c:pt idx="0">
                  <c:v>1</c:v>
                </c:pt>
                <c:pt idx="1">
                  <c:v>0</c:v>
                </c:pt>
                <c:pt idx="2">
                  <c:v>0</c:v>
                </c:pt>
                <c:pt idx="3">
                  <c:v>0</c:v>
                </c:pt>
                <c:pt idx="4">
                  <c:v>0</c:v>
                </c:pt>
                <c:pt idx="5">
                  <c:v>0</c:v>
                </c:pt>
                <c:pt idx="6">
                  <c:v>1</c:v>
                </c:pt>
                <c:pt idx="7">
                  <c:v>0</c:v>
                </c:pt>
                <c:pt idx="8">
                  <c:v>0</c:v>
                </c:pt>
                <c:pt idx="9">
                  <c:v>0</c:v>
                </c:pt>
                <c:pt idx="10">
                  <c:v>1</c:v>
                </c:pt>
                <c:pt idx="11">
                  <c:v>0</c:v>
                </c:pt>
                <c:pt idx="12">
                  <c:v>0</c:v>
                </c:pt>
              </c:numCache>
            </c:numRef>
          </c:val>
          <c:extLst>
            <c:ext xmlns:c16="http://schemas.microsoft.com/office/drawing/2014/chart" uri="{C3380CC4-5D6E-409C-BE32-E72D297353CC}">
              <c16:uniqueId val="{00000015-F1FE-404E-BBB4-D59D25BA88A5}"/>
            </c:ext>
          </c:extLst>
        </c:ser>
        <c:dLbls>
          <c:showLegendKey val="0"/>
          <c:showVal val="0"/>
          <c:showCatName val="0"/>
          <c:showSerName val="0"/>
          <c:showPercent val="0"/>
          <c:showBubbleSize val="0"/>
        </c:dLbls>
        <c:gapWidth val="150"/>
        <c:overlap val="100"/>
        <c:axId val="2118833407"/>
        <c:axId val="2118839679"/>
      </c:barChart>
      <c:catAx>
        <c:axId val="211883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8839679"/>
        <c:crosses val="autoZero"/>
        <c:auto val="1"/>
        <c:lblAlgn val="ctr"/>
        <c:lblOffset val="100"/>
        <c:noMultiLvlLbl val="0"/>
      </c:catAx>
      <c:valAx>
        <c:axId val="211883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8833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raw_data!$FW$3:$FW$15</c:f>
              <c:numCache>
                <c:formatCode>General</c:formatCode>
                <c:ptCount val="13"/>
                <c:pt idx="0">
                  <c:v>2</c:v>
                </c:pt>
                <c:pt idx="1">
                  <c:v>2</c:v>
                </c:pt>
                <c:pt idx="2">
                  <c:v>2</c:v>
                </c:pt>
                <c:pt idx="3">
                  <c:v>3</c:v>
                </c:pt>
                <c:pt idx="4">
                  <c:v>3</c:v>
                </c:pt>
                <c:pt idx="5">
                  <c:v>4</c:v>
                </c:pt>
                <c:pt idx="6">
                  <c:v>8</c:v>
                </c:pt>
                <c:pt idx="7">
                  <c:v>4</c:v>
                </c:pt>
                <c:pt idx="8">
                  <c:v>1</c:v>
                </c:pt>
                <c:pt idx="9">
                  <c:v>9</c:v>
                </c:pt>
                <c:pt idx="10">
                  <c:v>2</c:v>
                </c:pt>
                <c:pt idx="11">
                  <c:v>2</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DF5D-E24B-B37D-192F0465D400}"/>
            </c:ext>
          </c:extLst>
        </c:ser>
        <c:ser>
          <c:idx val="1"/>
          <c:order val="1"/>
          <c:spPr>
            <a:solidFill>
              <a:schemeClr val="accent2"/>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raw_data!$FX$3:$FX$15</c:f>
              <c:numCache>
                <c:formatCode>General</c:formatCode>
                <c:ptCount val="13"/>
                <c:pt idx="0">
                  <c:v>2</c:v>
                </c:pt>
                <c:pt idx="1">
                  <c:v>1</c:v>
                </c:pt>
                <c:pt idx="2">
                  <c:v>0</c:v>
                </c:pt>
                <c:pt idx="3">
                  <c:v>1</c:v>
                </c:pt>
                <c:pt idx="4">
                  <c:v>0</c:v>
                </c:pt>
                <c:pt idx="5">
                  <c:v>1</c:v>
                </c:pt>
                <c:pt idx="6">
                  <c:v>2</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DF5D-E24B-B37D-192F0465D400}"/>
            </c:ext>
          </c:extLst>
        </c:ser>
        <c:ser>
          <c:idx val="10"/>
          <c:order val="2"/>
          <c:spPr>
            <a:solidFill>
              <a:schemeClr val="bg1">
                <a:lumMod val="75000"/>
              </a:schemeClr>
            </a:solidFill>
            <a:ln>
              <a:noFill/>
            </a:ln>
            <a:effectLst/>
          </c:spPr>
          <c:invertIfNegative val="0"/>
          <c:val>
            <c:numRef>
              <c:f>raw_data!$FY$3:$FY$15</c:f>
              <c:numCache>
                <c:formatCode>General</c:formatCode>
                <c:ptCount val="13"/>
                <c:pt idx="0">
                  <c:v>0</c:v>
                </c:pt>
                <c:pt idx="1">
                  <c:v>2</c:v>
                </c:pt>
                <c:pt idx="2">
                  <c:v>1</c:v>
                </c:pt>
                <c:pt idx="3">
                  <c:v>0</c:v>
                </c:pt>
                <c:pt idx="4">
                  <c:v>0</c:v>
                </c:pt>
                <c:pt idx="5">
                  <c:v>0</c:v>
                </c:pt>
                <c:pt idx="6">
                  <c:v>0</c:v>
                </c:pt>
                <c:pt idx="7">
                  <c:v>1</c:v>
                </c:pt>
                <c:pt idx="8">
                  <c:v>1</c:v>
                </c:pt>
                <c:pt idx="9">
                  <c:v>2</c:v>
                </c:pt>
                <c:pt idx="10">
                  <c:v>1</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617F-8D4D-B468-110A7D44495D}"/>
            </c:ext>
          </c:extLst>
        </c:ser>
        <c:ser>
          <c:idx val="3"/>
          <c:order val="3"/>
          <c:spPr>
            <a:solidFill>
              <a:srgbClr val="FFFF00"/>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raw_data!$FZ$3:$FZ$15</c:f>
              <c:numCache>
                <c:formatCode>General</c:formatCode>
                <c:ptCount val="13"/>
                <c:pt idx="0">
                  <c:v>1</c:v>
                </c:pt>
                <c:pt idx="1">
                  <c:v>0</c:v>
                </c:pt>
                <c:pt idx="2">
                  <c:v>2</c:v>
                </c:pt>
                <c:pt idx="3">
                  <c:v>1</c:v>
                </c:pt>
                <c:pt idx="4">
                  <c:v>1</c:v>
                </c:pt>
                <c:pt idx="5">
                  <c:v>0</c:v>
                </c:pt>
                <c:pt idx="6">
                  <c:v>0</c:v>
                </c:pt>
                <c:pt idx="7">
                  <c:v>0</c:v>
                </c:pt>
                <c:pt idx="8">
                  <c:v>0</c:v>
                </c:pt>
                <c:pt idx="9">
                  <c:v>1</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DF5D-E24B-B37D-192F0465D400}"/>
            </c:ext>
          </c:extLst>
        </c:ser>
        <c:ser>
          <c:idx val="4"/>
          <c:order val="4"/>
          <c:spPr>
            <a:solidFill>
              <a:schemeClr val="accent5"/>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raw_data!$GA$3:$GA$15</c:f>
              <c:numCache>
                <c:formatCode>General</c:formatCode>
                <c:ptCount val="13"/>
                <c:pt idx="0">
                  <c:v>0</c:v>
                </c:pt>
                <c:pt idx="1">
                  <c:v>0</c:v>
                </c:pt>
                <c:pt idx="2">
                  <c:v>0</c:v>
                </c:pt>
                <c:pt idx="3">
                  <c:v>0</c:v>
                </c:pt>
                <c:pt idx="4">
                  <c:v>0</c:v>
                </c:pt>
                <c:pt idx="5">
                  <c:v>0</c:v>
                </c:pt>
                <c:pt idx="6">
                  <c:v>0</c:v>
                </c:pt>
                <c:pt idx="7">
                  <c:v>0</c:v>
                </c:pt>
                <c:pt idx="8">
                  <c:v>1</c:v>
                </c:pt>
                <c:pt idx="9">
                  <c:v>0</c:v>
                </c:pt>
                <c:pt idx="10">
                  <c:v>0</c:v>
                </c:pt>
                <c:pt idx="11">
                  <c:v>1</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DF5D-E24B-B37D-192F0465D400}"/>
            </c:ext>
          </c:extLst>
        </c:ser>
        <c:ser>
          <c:idx val="5"/>
          <c:order val="5"/>
          <c:spPr>
            <a:solidFill>
              <a:schemeClr val="bg2">
                <a:lumMod val="50000"/>
              </a:schemeClr>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raw_data!$GB$3:$GB$15</c:f>
              <c:numCache>
                <c:formatCode>General</c:formatCode>
                <c:ptCount val="13"/>
                <c:pt idx="0">
                  <c:v>0</c:v>
                </c:pt>
                <c:pt idx="1">
                  <c:v>3</c:v>
                </c:pt>
                <c:pt idx="2">
                  <c:v>2</c:v>
                </c:pt>
                <c:pt idx="3">
                  <c:v>1</c:v>
                </c:pt>
                <c:pt idx="4">
                  <c:v>3</c:v>
                </c:pt>
                <c:pt idx="5">
                  <c:v>3</c:v>
                </c:pt>
                <c:pt idx="6">
                  <c:v>0</c:v>
                </c:pt>
                <c:pt idx="7">
                  <c:v>0</c:v>
                </c:pt>
                <c:pt idx="8">
                  <c:v>2</c:v>
                </c:pt>
                <c:pt idx="9">
                  <c:v>4</c:v>
                </c:pt>
                <c:pt idx="10">
                  <c:v>2</c:v>
                </c:pt>
                <c:pt idx="11">
                  <c:v>2</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5-DF5D-E24B-B37D-192F0465D400}"/>
            </c:ext>
          </c:extLst>
        </c:ser>
        <c:ser>
          <c:idx val="6"/>
          <c:order val="6"/>
          <c:spPr>
            <a:solidFill>
              <a:schemeClr val="accent1">
                <a:lumMod val="60000"/>
              </a:schemeClr>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raw_data!$GC$3:$GC$15</c:f>
              <c:numCache>
                <c:formatCode>General</c:formatCode>
                <c:ptCount val="13"/>
                <c:pt idx="0">
                  <c:v>0</c:v>
                </c:pt>
                <c:pt idx="1">
                  <c:v>0</c:v>
                </c:pt>
                <c:pt idx="2">
                  <c:v>2</c:v>
                </c:pt>
                <c:pt idx="3">
                  <c:v>0</c:v>
                </c:pt>
                <c:pt idx="4">
                  <c:v>0</c:v>
                </c:pt>
                <c:pt idx="5">
                  <c:v>1</c:v>
                </c:pt>
                <c:pt idx="6">
                  <c:v>1</c:v>
                </c:pt>
                <c:pt idx="7">
                  <c:v>1</c:v>
                </c:pt>
                <c:pt idx="8">
                  <c:v>0</c:v>
                </c:pt>
                <c:pt idx="9">
                  <c:v>1</c:v>
                </c:pt>
                <c:pt idx="10">
                  <c:v>1</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6-DF5D-E24B-B37D-192F0465D400}"/>
            </c:ext>
          </c:extLst>
        </c:ser>
        <c:ser>
          <c:idx val="7"/>
          <c:order val="7"/>
          <c:spPr>
            <a:solidFill>
              <a:schemeClr val="accent2">
                <a:lumMod val="60000"/>
              </a:schemeClr>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raw_data!$GD$3:$GD$15</c:f>
              <c:numCache>
                <c:formatCode>General</c:formatCode>
                <c:ptCount val="13"/>
                <c:pt idx="0">
                  <c:v>0</c:v>
                </c:pt>
                <c:pt idx="1">
                  <c:v>0</c:v>
                </c:pt>
                <c:pt idx="2">
                  <c:v>0</c:v>
                </c:pt>
                <c:pt idx="3">
                  <c:v>0</c:v>
                </c:pt>
                <c:pt idx="4">
                  <c:v>1</c:v>
                </c:pt>
                <c:pt idx="5">
                  <c:v>0</c:v>
                </c:pt>
                <c:pt idx="6">
                  <c:v>0</c:v>
                </c:pt>
                <c:pt idx="7">
                  <c:v>0</c:v>
                </c:pt>
                <c:pt idx="8">
                  <c:v>1</c:v>
                </c:pt>
                <c:pt idx="9">
                  <c:v>1</c:v>
                </c:pt>
                <c:pt idx="10">
                  <c:v>2</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7-DF5D-E24B-B37D-192F0465D400}"/>
            </c:ext>
          </c:extLst>
        </c:ser>
        <c:ser>
          <c:idx val="8"/>
          <c:order val="8"/>
          <c:spPr>
            <a:solidFill>
              <a:schemeClr val="tx2">
                <a:lumMod val="10000"/>
                <a:lumOff val="90000"/>
              </a:schemeClr>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raw_data!$GE$3:$GE$15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8-DF5D-E24B-B37D-192F0465D400}"/>
            </c:ext>
          </c:extLst>
        </c:ser>
        <c:ser>
          <c:idx val="9"/>
          <c:order val="9"/>
          <c:spPr>
            <a:solidFill>
              <a:schemeClr val="accent3">
                <a:lumMod val="40000"/>
                <a:lumOff val="60000"/>
              </a:schemeClr>
            </a:solidFill>
            <a:ln>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raw_data!$GF$3:$GF$15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9-DF5D-E24B-B37D-192F0465D400}"/>
            </c:ext>
          </c:extLst>
        </c:ser>
        <c:ser>
          <c:idx val="2"/>
          <c:order val="10"/>
          <c:spPr>
            <a:solidFill>
              <a:srgbClr val="0070C0"/>
            </a:solidFill>
            <a:ln>
              <a:noFill/>
            </a:ln>
            <a:effectLst/>
          </c:spPr>
          <c:invertIfNegative val="0"/>
          <c:val>
            <c:numRef>
              <c:f>raw_data!$GQ$3:$GQ$15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617F-8D4D-B468-110A7D44495D}"/>
            </c:ext>
          </c:extLst>
        </c:ser>
        <c:ser>
          <c:idx val="19"/>
          <c:order val="11"/>
          <c:spPr>
            <a:solidFill>
              <a:schemeClr val="accent2">
                <a:lumMod val="80000"/>
              </a:schemeClr>
            </a:solidFill>
            <a:ln w="25400">
              <a:noFill/>
            </a:ln>
            <a:effectLst/>
          </c:spPr>
          <c:invertIfNegative val="0"/>
          <c:cat>
            <c:numRef>
              <c:f>raw_data!$FV$3:$FV$15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raw_data!$GP$3:$GP$15</c:f>
              <c:numCache>
                <c:formatCode>General</c:formatCode>
                <c:ptCount val="13"/>
                <c:pt idx="0">
                  <c:v>0</c:v>
                </c:pt>
                <c:pt idx="1">
                  <c:v>0</c:v>
                </c:pt>
                <c:pt idx="2">
                  <c:v>0</c:v>
                </c:pt>
                <c:pt idx="3">
                  <c:v>0</c:v>
                </c:pt>
                <c:pt idx="4">
                  <c:v>0</c:v>
                </c:pt>
                <c:pt idx="5">
                  <c:v>1</c:v>
                </c:pt>
                <c:pt idx="6">
                  <c:v>1</c:v>
                </c:pt>
                <c:pt idx="7">
                  <c:v>1</c:v>
                </c:pt>
                <c:pt idx="8">
                  <c:v>1</c:v>
                </c:pt>
                <c:pt idx="9">
                  <c:v>1</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3-DF5D-E24B-B37D-192F0465D400}"/>
            </c:ext>
          </c:extLst>
        </c:ser>
        <c:ser>
          <c:idx val="11"/>
          <c:order val="12"/>
          <c:spPr>
            <a:solidFill>
              <a:schemeClr val="accent6">
                <a:lumMod val="60000"/>
              </a:schemeClr>
            </a:solidFill>
            <a:ln>
              <a:noFill/>
            </a:ln>
            <a:effectLst/>
          </c:spPr>
          <c:invertIfNegative val="0"/>
          <c:val>
            <c:numLit>
              <c:formatCode>General</c:formatCode>
              <c:ptCount val="1"/>
              <c:pt idx="0">
                <c:v>1</c:v>
              </c:pt>
            </c:numLit>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617F-8D4D-B468-110A7D44495D}"/>
            </c:ext>
          </c:extLst>
        </c:ser>
        <c:dLbls>
          <c:showLegendKey val="0"/>
          <c:showVal val="0"/>
          <c:showCatName val="0"/>
          <c:showSerName val="0"/>
          <c:showPercent val="0"/>
          <c:showBubbleSize val="0"/>
        </c:dLbls>
        <c:gapWidth val="150"/>
        <c:overlap val="100"/>
        <c:axId val="2122274047"/>
        <c:axId val="2119059199"/>
      </c:barChart>
      <c:catAx>
        <c:axId val="2122274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9059199"/>
        <c:crosses val="autoZero"/>
        <c:auto val="1"/>
        <c:lblAlgn val="ctr"/>
        <c:lblOffset val="100"/>
        <c:noMultiLvlLbl val="0"/>
      </c:catAx>
      <c:valAx>
        <c:axId val="211905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2274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raw_data!$FW$71</c:f>
              <c:strCache>
                <c:ptCount val="1"/>
                <c:pt idx="0">
                  <c:v>search-based</c:v>
                </c:pt>
              </c:strCache>
            </c:strRef>
          </c:tx>
          <c:spPr>
            <a:solidFill>
              <a:schemeClr val="accent1"/>
            </a:solidFill>
            <a:ln>
              <a:noFill/>
            </a:ln>
            <a:effectLst/>
          </c:spPr>
          <c:invertIfNegative val="0"/>
          <c:cat>
            <c:numRef>
              <c:f>raw_data!$FV$72:$FV$84</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raw_data!$FW$72:$FW$84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1</c:v>
                </c:pt>
                <c:pt idx="12">
                  <c:v>0</c:v>
                </c:pt>
              </c:numCache>
            </c:numRef>
          </c:val>
          <c:extLst>
            <c:ext xmlns:c16="http://schemas.microsoft.com/office/drawing/2014/chart" uri="{C3380CC4-5D6E-409C-BE32-E72D297353CC}">
              <c16:uniqueId val="{00000000-FAE0-C945-AA1A-13B1C419CD8F}"/>
            </c:ext>
          </c:extLst>
        </c:ser>
        <c:ser>
          <c:idx val="1"/>
          <c:order val="1"/>
          <c:tx>
            <c:strRef>
              <c:f>raw_data!$FX$71</c:f>
              <c:strCache>
                <c:ptCount val="1"/>
                <c:pt idx="0">
                  <c:v>others</c:v>
                </c:pt>
              </c:strCache>
            </c:strRef>
          </c:tx>
          <c:spPr>
            <a:solidFill>
              <a:schemeClr val="accent2"/>
            </a:solidFill>
            <a:ln>
              <a:noFill/>
            </a:ln>
            <a:effectLst/>
          </c:spPr>
          <c:invertIfNegative val="0"/>
          <c:cat>
            <c:numRef>
              <c:f>raw_data!$FV$72:$FV$84</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raw_data!$FX$72:$FX$84</c:f>
              <c:numCache>
                <c:formatCode>General</c:formatCode>
                <c:ptCount val="13"/>
                <c:pt idx="0">
                  <c:v>1</c:v>
                </c:pt>
                <c:pt idx="1">
                  <c:v>0</c:v>
                </c:pt>
                <c:pt idx="2">
                  <c:v>0</c:v>
                </c:pt>
                <c:pt idx="3">
                  <c:v>0</c:v>
                </c:pt>
                <c:pt idx="4">
                  <c:v>0</c:v>
                </c:pt>
                <c:pt idx="5">
                  <c:v>0</c:v>
                </c:pt>
                <c:pt idx="6">
                  <c:v>0</c:v>
                </c:pt>
                <c:pt idx="7">
                  <c:v>0</c:v>
                </c:pt>
                <c:pt idx="8">
                  <c:v>0</c:v>
                </c:pt>
                <c:pt idx="9">
                  <c:v>1</c:v>
                </c:pt>
                <c:pt idx="10">
                  <c:v>0</c:v>
                </c:pt>
                <c:pt idx="11">
                  <c:v>0</c:v>
                </c:pt>
                <c:pt idx="12">
                  <c:v>0</c:v>
                </c:pt>
              </c:numCache>
            </c:numRef>
          </c:val>
          <c:extLst>
            <c:ext xmlns:c16="http://schemas.microsoft.com/office/drawing/2014/chart" uri="{C3380CC4-5D6E-409C-BE32-E72D297353CC}">
              <c16:uniqueId val="{00000001-FAE0-C945-AA1A-13B1C419CD8F}"/>
            </c:ext>
          </c:extLst>
        </c:ser>
        <c:dLbls>
          <c:showLegendKey val="0"/>
          <c:showVal val="0"/>
          <c:showCatName val="0"/>
          <c:showSerName val="0"/>
          <c:showPercent val="0"/>
          <c:showBubbleSize val="0"/>
        </c:dLbls>
        <c:gapWidth val="219"/>
        <c:overlap val="100"/>
        <c:axId val="2120368575"/>
        <c:axId val="2120376191"/>
      </c:barChart>
      <c:catAx>
        <c:axId val="212036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120376191"/>
        <c:crosses val="autoZero"/>
        <c:auto val="1"/>
        <c:lblAlgn val="ctr"/>
        <c:lblOffset val="100"/>
        <c:noMultiLvlLbl val="0"/>
      </c:catAx>
      <c:valAx>
        <c:axId val="212037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12036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raw_data!$HA$2</c:f>
              <c:strCache>
                <c:ptCount val="1"/>
                <c:pt idx="0">
                  <c:v>Metaheuristic-based</c:v>
                </c:pt>
              </c:strCache>
            </c:strRef>
          </c:tx>
          <c:spPr>
            <a:solidFill>
              <a:srgbClr val="C00000"/>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raw_data!$HA$3:$HA$15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9D55-F84B-9F0B-59C0B3C9B761}"/>
            </c:ext>
          </c:extLst>
        </c:ser>
        <c:ser>
          <c:idx val="1"/>
          <c:order val="1"/>
          <c:tx>
            <c:strRef>
              <c:f>raw_data!$HB$2</c:f>
              <c:strCache>
                <c:ptCount val="1"/>
                <c:pt idx="0">
                  <c:v>Search-based</c:v>
                </c:pt>
              </c:strCache>
            </c:strRef>
          </c:tx>
          <c:spPr>
            <a:solidFill>
              <a:srgbClr val="FF0000"/>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raw_data!$HB$3:$HB$15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9D55-F84B-9F0B-59C0B3C9B761}"/>
            </c:ext>
          </c:extLst>
        </c:ser>
        <c:ser>
          <c:idx val="2"/>
          <c:order val="2"/>
          <c:tx>
            <c:strRef>
              <c:f>raw_data!$HC$2</c:f>
              <c:strCache>
                <c:ptCount val="1"/>
                <c:pt idx="0">
                  <c:v>Heuristic-based</c:v>
                </c:pt>
              </c:strCache>
            </c:strRef>
          </c:tx>
          <c:spPr>
            <a:solidFill>
              <a:schemeClr val="accent3"/>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raw_data!$HC$3:$HC$15</c:f>
              <c:numCache>
                <c:formatCode>General</c:formatCode>
                <c:ptCount val="13"/>
                <c:pt idx="0">
                  <c:v>3</c:v>
                </c:pt>
                <c:pt idx="1">
                  <c:v>4</c:v>
                </c:pt>
                <c:pt idx="2">
                  <c:v>6</c:v>
                </c:pt>
                <c:pt idx="3">
                  <c:v>4</c:v>
                </c:pt>
                <c:pt idx="4">
                  <c:v>3</c:v>
                </c:pt>
                <c:pt idx="5">
                  <c:v>3</c:v>
                </c:pt>
                <c:pt idx="6">
                  <c:v>6</c:v>
                </c:pt>
                <c:pt idx="7">
                  <c:v>2</c:v>
                </c:pt>
                <c:pt idx="8">
                  <c:v>3</c:v>
                </c:pt>
                <c:pt idx="9">
                  <c:v>8</c:v>
                </c:pt>
                <c:pt idx="10">
                  <c:v>5</c:v>
                </c:pt>
                <c:pt idx="11">
                  <c:v>4</c:v>
                </c:pt>
                <c:pt idx="12">
                  <c:v>0</c:v>
                </c:pt>
              </c:numCache>
            </c:numRef>
          </c:val>
          <c:extLst>
            <c:ext xmlns:c16="http://schemas.microsoft.com/office/drawing/2014/chart" uri="{C3380CC4-5D6E-409C-BE32-E72D297353CC}">
              <c16:uniqueId val="{00000002-9D55-F84B-9F0B-59C0B3C9B761}"/>
            </c:ext>
          </c:extLst>
        </c:ser>
        <c:ser>
          <c:idx val="3"/>
          <c:order val="3"/>
          <c:tx>
            <c:strRef>
              <c:f>raw_data!$HD$2</c:f>
              <c:strCache>
                <c:ptCount val="1"/>
                <c:pt idx="0">
                  <c:v>Machine Learning-based</c:v>
                </c:pt>
              </c:strCache>
            </c:strRef>
          </c:tx>
          <c:spPr>
            <a:solidFill>
              <a:srgbClr val="FFFF00"/>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raw_data!$HD$3:$HD$15</c:f>
              <c:numCache>
                <c:formatCode>General</c:formatCode>
                <c:ptCount val="13"/>
                <c:pt idx="0">
                  <c:v>1</c:v>
                </c:pt>
                <c:pt idx="1">
                  <c:v>1</c:v>
                </c:pt>
                <c:pt idx="2">
                  <c:v>2</c:v>
                </c:pt>
                <c:pt idx="3">
                  <c:v>1</c:v>
                </c:pt>
                <c:pt idx="4">
                  <c:v>1</c:v>
                </c:pt>
                <c:pt idx="5">
                  <c:v>2</c:v>
                </c:pt>
                <c:pt idx="6">
                  <c:v>0</c:v>
                </c:pt>
                <c:pt idx="7">
                  <c:v>2</c:v>
                </c:pt>
                <c:pt idx="8">
                  <c:v>3</c:v>
                </c:pt>
                <c:pt idx="9">
                  <c:v>5</c:v>
                </c:pt>
                <c:pt idx="10">
                  <c:v>2</c:v>
                </c:pt>
                <c:pt idx="11">
                  <c:v>2</c:v>
                </c:pt>
                <c:pt idx="12">
                  <c:v>0</c:v>
                </c:pt>
              </c:numCache>
            </c:numRef>
          </c:val>
          <c:extLst>
            <c:ext xmlns:c16="http://schemas.microsoft.com/office/drawing/2014/chart" uri="{C3380CC4-5D6E-409C-BE32-E72D297353CC}">
              <c16:uniqueId val="{00000003-9D55-F84B-9F0B-59C0B3C9B761}"/>
            </c:ext>
          </c:extLst>
        </c:ser>
        <c:ser>
          <c:idx val="4"/>
          <c:order val="4"/>
          <c:tx>
            <c:strRef>
              <c:f>raw_data!$HE$2</c:f>
              <c:strCache>
                <c:ptCount val="1"/>
                <c:pt idx="0">
                  <c:v>Rule-based</c:v>
                </c:pt>
              </c:strCache>
            </c:strRef>
          </c:tx>
          <c:spPr>
            <a:solidFill>
              <a:schemeClr val="accent5"/>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raw_data!$HE$3:$HE$15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9D55-F84B-9F0B-59C0B3C9B761}"/>
            </c:ext>
          </c:extLst>
        </c:ser>
        <c:ser>
          <c:idx val="5"/>
          <c:order val="5"/>
          <c:tx>
            <c:strRef>
              <c:f>raw_data!$HF$2</c:f>
              <c:strCache>
                <c:ptCount val="1"/>
                <c:pt idx="0">
                  <c:v>Similarity-based</c:v>
                </c:pt>
              </c:strCache>
            </c:strRef>
          </c:tx>
          <c:spPr>
            <a:solidFill>
              <a:schemeClr val="accent1">
                <a:lumMod val="40000"/>
                <a:lumOff val="60000"/>
              </a:schemeClr>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raw_data!$HF$3:$HF$15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9D55-F84B-9F0B-59C0B3C9B761}"/>
            </c:ext>
          </c:extLst>
        </c:ser>
        <c:ser>
          <c:idx val="6"/>
          <c:order val="6"/>
          <c:tx>
            <c:strRef>
              <c:f>raw_data!$HG$2</c:f>
              <c:strCache>
                <c:ptCount val="1"/>
                <c:pt idx="0">
                  <c:v>Model-based</c:v>
                </c:pt>
              </c:strCache>
            </c:strRef>
          </c:tx>
          <c:spPr>
            <a:solidFill>
              <a:schemeClr val="tx1"/>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raw_data!$HG$3:$HG$15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9D55-F84B-9F0B-59C0B3C9B761}"/>
            </c:ext>
          </c:extLst>
        </c:ser>
        <c:ser>
          <c:idx val="7"/>
          <c:order val="7"/>
          <c:tx>
            <c:strRef>
              <c:f>raw_data!$HH$2</c:f>
              <c:strCache>
                <c:ptCount val="1"/>
                <c:pt idx="0">
                  <c:v>Dependency-based</c:v>
                </c:pt>
              </c:strCache>
            </c:strRef>
          </c:tx>
          <c:spPr>
            <a:solidFill>
              <a:schemeClr val="accent2"/>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raw_data!$HH$3:$HH$15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9D55-F84B-9F0B-59C0B3C9B761}"/>
            </c:ext>
          </c:extLst>
        </c:ser>
        <c:ser>
          <c:idx val="8"/>
          <c:order val="8"/>
          <c:tx>
            <c:strRef>
              <c:f>raw_data!$HI$2</c:f>
              <c:strCache>
                <c:ptCount val="1"/>
                <c:pt idx="0">
                  <c:v>Quantum-based</c:v>
                </c:pt>
              </c:strCache>
            </c:strRef>
          </c:tx>
          <c:spPr>
            <a:solidFill>
              <a:schemeClr val="accent3">
                <a:lumMod val="40000"/>
                <a:lumOff val="60000"/>
              </a:schemeClr>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raw_data!$HI$3:$HI$15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8-9D55-F84B-9F0B-59C0B3C9B761}"/>
            </c:ext>
          </c:extLst>
        </c:ser>
        <c:ser>
          <c:idx val="9"/>
          <c:order val="9"/>
          <c:tx>
            <c:strRef>
              <c:f>raw_data!$HJ$2</c:f>
              <c:strCache>
                <c:ptCount val="1"/>
                <c:pt idx="0">
                  <c:v>Genetic-based</c:v>
                </c:pt>
              </c:strCache>
            </c:strRef>
          </c:tx>
          <c:spPr>
            <a:solidFill>
              <a:srgbClr val="0070C0"/>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raw_data!$HJ$3:$HJ$15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9D55-F84B-9F0B-59C0B3C9B761}"/>
            </c:ext>
          </c:extLst>
        </c:ser>
        <c:ser>
          <c:idx val="10"/>
          <c:order val="10"/>
          <c:tx>
            <c:strRef>
              <c:f>raw_data!$HK$2</c:f>
              <c:strCache>
                <c:ptCount val="1"/>
                <c:pt idx="0">
                  <c:v>Graph-based</c:v>
                </c:pt>
              </c:strCache>
            </c:strRef>
          </c:tx>
          <c:spPr>
            <a:solidFill>
              <a:schemeClr val="bg1">
                <a:lumMod val="85000"/>
              </a:schemeClr>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raw_data!$HK$3:$HK$15</c:f>
              <c:numCache>
                <c:formatCode>General</c:formatCode>
                <c:ptCount val="13"/>
                <c:pt idx="0">
                  <c:v>0</c:v>
                </c:pt>
                <c:pt idx="1">
                  <c:v>0</c:v>
                </c:pt>
                <c:pt idx="2">
                  <c:v>0</c:v>
                </c:pt>
                <c:pt idx="3">
                  <c:v>0</c:v>
                </c:pt>
                <c:pt idx="4">
                  <c:v>0</c:v>
                </c:pt>
                <c:pt idx="5">
                  <c:v>3</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A-9D55-F84B-9F0B-59C0B3C9B761}"/>
            </c:ext>
          </c:extLst>
        </c:ser>
        <c:ser>
          <c:idx val="11"/>
          <c:order val="11"/>
          <c:tx>
            <c:strRef>
              <c:f>raw_data!$HL$2</c:f>
              <c:strCache>
                <c:ptCount val="1"/>
                <c:pt idx="0">
                  <c:v>Greedy</c:v>
                </c:pt>
              </c:strCache>
            </c:strRef>
          </c:tx>
          <c:spPr>
            <a:solidFill>
              <a:srgbClr val="92D050"/>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raw_data!$HL$3:$HL$15</c:f>
              <c:numCache>
                <c:formatCode>General</c:formatCode>
                <c:ptCount val="13"/>
                <c:pt idx="0">
                  <c:v>0</c:v>
                </c:pt>
                <c:pt idx="1">
                  <c:v>0</c:v>
                </c:pt>
                <c:pt idx="2">
                  <c:v>1</c:v>
                </c:pt>
                <c:pt idx="3">
                  <c:v>3</c:v>
                </c:pt>
                <c:pt idx="4">
                  <c:v>2</c:v>
                </c:pt>
                <c:pt idx="5">
                  <c:v>0</c:v>
                </c:pt>
                <c:pt idx="6">
                  <c:v>5</c:v>
                </c:pt>
                <c:pt idx="7">
                  <c:v>2</c:v>
                </c:pt>
                <c:pt idx="8">
                  <c:v>0</c:v>
                </c:pt>
                <c:pt idx="9">
                  <c:v>4</c:v>
                </c:pt>
                <c:pt idx="10">
                  <c:v>0</c:v>
                </c:pt>
                <c:pt idx="11">
                  <c:v>0</c:v>
                </c:pt>
                <c:pt idx="12">
                  <c:v>0</c:v>
                </c:pt>
              </c:numCache>
            </c:numRef>
          </c:val>
          <c:extLst>
            <c:ext xmlns:c16="http://schemas.microsoft.com/office/drawing/2014/chart" uri="{C3380CC4-5D6E-409C-BE32-E72D297353CC}">
              <c16:uniqueId val="{0000000B-9D55-F84B-9F0B-59C0B3C9B761}"/>
            </c:ext>
          </c:extLst>
        </c:ser>
        <c:ser>
          <c:idx val="12"/>
          <c:order val="12"/>
          <c:tx>
            <c:strRef>
              <c:f>raw_data!$HM$2</c:f>
              <c:strCache>
                <c:ptCount val="1"/>
                <c:pt idx="0">
                  <c:v>Dynamic Programming</c:v>
                </c:pt>
              </c:strCache>
            </c:strRef>
          </c:tx>
          <c:spPr>
            <a:solidFill>
              <a:schemeClr val="accent2"/>
            </a:solidFill>
            <a:ln>
              <a:noFill/>
            </a:ln>
            <a:effectLst/>
          </c:spPr>
          <c:invertIfNegative val="0"/>
          <c:cat>
            <c:numRef>
              <c:f>raw_data!$GZ$3:$GZ$15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raw_data!$HM$3:$HM$15</c:f>
              <c:numCache>
                <c:formatCode>General</c:formatCode>
                <c:ptCount val="13"/>
                <c:pt idx="0">
                  <c:v>0</c:v>
                </c:pt>
                <c:pt idx="1">
                  <c:v>0</c:v>
                </c:pt>
                <c:pt idx="2">
                  <c:v>0</c:v>
                </c:pt>
                <c:pt idx="3">
                  <c:v>0</c:v>
                </c:pt>
                <c:pt idx="4">
                  <c:v>0</c:v>
                </c:pt>
                <c:pt idx="5">
                  <c:v>0</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C-9D55-F84B-9F0B-59C0B3C9B761}"/>
            </c:ext>
          </c:extLst>
        </c:ser>
        <c:dLbls>
          <c:showLegendKey val="0"/>
          <c:showVal val="0"/>
          <c:showCatName val="0"/>
          <c:showSerName val="0"/>
          <c:showPercent val="0"/>
          <c:showBubbleSize val="0"/>
        </c:dLbls>
        <c:gapWidth val="150"/>
        <c:overlap val="100"/>
        <c:axId val="1992849407"/>
        <c:axId val="2119875903"/>
      </c:barChart>
      <c:catAx>
        <c:axId val="199284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9875903"/>
        <c:crosses val="autoZero"/>
        <c:auto val="1"/>
        <c:lblAlgn val="ctr"/>
        <c:lblOffset val="100"/>
        <c:noMultiLvlLbl val="0"/>
      </c:catAx>
      <c:valAx>
        <c:axId val="211987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99284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raw_data!$HA$19</c:f>
              <c:strCache>
                <c:ptCount val="1"/>
                <c:pt idx="0">
                  <c:v>Metaheuristic-based</c:v>
                </c:pt>
              </c:strCache>
            </c:strRef>
          </c:tx>
          <c:spPr>
            <a:solidFill>
              <a:schemeClr val="accent1"/>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raw_data!$HA$20:$HA$32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0427-2746-81FF-42B0293698A3}"/>
            </c:ext>
          </c:extLst>
        </c:ser>
        <c:ser>
          <c:idx val="1"/>
          <c:order val="1"/>
          <c:tx>
            <c:strRef>
              <c:f>raw_data!$HB$19</c:f>
              <c:strCache>
                <c:ptCount val="1"/>
                <c:pt idx="0">
                  <c:v>Search-based</c:v>
                </c:pt>
              </c:strCache>
            </c:strRef>
          </c:tx>
          <c:spPr>
            <a:solidFill>
              <a:schemeClr val="accent2"/>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raw_data!$HB$20:$HB$32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0427-2746-81FF-42B0293698A3}"/>
            </c:ext>
          </c:extLst>
        </c:ser>
        <c:ser>
          <c:idx val="2"/>
          <c:order val="2"/>
          <c:tx>
            <c:strRef>
              <c:f>raw_data!$HC$19</c:f>
              <c:strCache>
                <c:ptCount val="1"/>
                <c:pt idx="0">
                  <c:v>Heuristic-based</c:v>
                </c:pt>
              </c:strCache>
            </c:strRef>
          </c:tx>
          <c:spPr>
            <a:solidFill>
              <a:schemeClr val="accent3"/>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raw_data!$HC$20:$HC$32</c:f>
              <c:numCache>
                <c:formatCode>General</c:formatCode>
                <c:ptCount val="13"/>
                <c:pt idx="0">
                  <c:v>2</c:v>
                </c:pt>
                <c:pt idx="1">
                  <c:v>2</c:v>
                </c:pt>
                <c:pt idx="2">
                  <c:v>0</c:v>
                </c:pt>
                <c:pt idx="3">
                  <c:v>1</c:v>
                </c:pt>
                <c:pt idx="4">
                  <c:v>2</c:v>
                </c:pt>
                <c:pt idx="5">
                  <c:v>3</c:v>
                </c:pt>
                <c:pt idx="6">
                  <c:v>1</c:v>
                </c:pt>
                <c:pt idx="7">
                  <c:v>1</c:v>
                </c:pt>
                <c:pt idx="8">
                  <c:v>0</c:v>
                </c:pt>
                <c:pt idx="9">
                  <c:v>1</c:v>
                </c:pt>
                <c:pt idx="10">
                  <c:v>0</c:v>
                </c:pt>
                <c:pt idx="11">
                  <c:v>1</c:v>
                </c:pt>
                <c:pt idx="12">
                  <c:v>0</c:v>
                </c:pt>
              </c:numCache>
            </c:numRef>
          </c:val>
          <c:extLst>
            <c:ext xmlns:c16="http://schemas.microsoft.com/office/drawing/2014/chart" uri="{C3380CC4-5D6E-409C-BE32-E72D297353CC}">
              <c16:uniqueId val="{00000002-0427-2746-81FF-42B0293698A3}"/>
            </c:ext>
          </c:extLst>
        </c:ser>
        <c:ser>
          <c:idx val="3"/>
          <c:order val="3"/>
          <c:tx>
            <c:strRef>
              <c:f>raw_data!$HD$19</c:f>
              <c:strCache>
                <c:ptCount val="1"/>
                <c:pt idx="0">
                  <c:v>ML-based</c:v>
                </c:pt>
              </c:strCache>
            </c:strRef>
          </c:tx>
          <c:spPr>
            <a:solidFill>
              <a:srgbClr val="FF0000"/>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raw_data!$HD$20:$HD$32</c:f>
              <c:numCache>
                <c:formatCode>General</c:formatCode>
                <c:ptCount val="13"/>
                <c:pt idx="0">
                  <c:v>0</c:v>
                </c:pt>
                <c:pt idx="1">
                  <c:v>0</c:v>
                </c:pt>
                <c:pt idx="2">
                  <c:v>0</c:v>
                </c:pt>
                <c:pt idx="3">
                  <c:v>0</c:v>
                </c:pt>
                <c:pt idx="4">
                  <c:v>1</c:v>
                </c:pt>
                <c:pt idx="5">
                  <c:v>0</c:v>
                </c:pt>
                <c:pt idx="6">
                  <c:v>0</c:v>
                </c:pt>
                <c:pt idx="7">
                  <c:v>0</c:v>
                </c:pt>
                <c:pt idx="8">
                  <c:v>1</c:v>
                </c:pt>
                <c:pt idx="9">
                  <c:v>0</c:v>
                </c:pt>
                <c:pt idx="10">
                  <c:v>0</c:v>
                </c:pt>
                <c:pt idx="11">
                  <c:v>0</c:v>
                </c:pt>
                <c:pt idx="12">
                  <c:v>0</c:v>
                </c:pt>
              </c:numCache>
            </c:numRef>
          </c:val>
          <c:extLst>
            <c:ext xmlns:c16="http://schemas.microsoft.com/office/drawing/2014/chart" uri="{C3380CC4-5D6E-409C-BE32-E72D297353CC}">
              <c16:uniqueId val="{00000003-0427-2746-81FF-42B0293698A3}"/>
            </c:ext>
          </c:extLst>
        </c:ser>
        <c:ser>
          <c:idx val="4"/>
          <c:order val="4"/>
          <c:tx>
            <c:strRef>
              <c:f>raw_data!$HE$19</c:f>
              <c:strCache>
                <c:ptCount val="1"/>
                <c:pt idx="0">
                  <c:v>Rule-based</c:v>
                </c:pt>
              </c:strCache>
            </c:strRef>
          </c:tx>
          <c:spPr>
            <a:solidFill>
              <a:schemeClr val="accent5"/>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raw_data!$HE$20:$HE$32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0427-2746-81FF-42B0293698A3}"/>
            </c:ext>
          </c:extLst>
        </c:ser>
        <c:ser>
          <c:idx val="5"/>
          <c:order val="5"/>
          <c:tx>
            <c:strRef>
              <c:f>raw_data!$HF$19</c:f>
              <c:strCache>
                <c:ptCount val="1"/>
                <c:pt idx="0">
                  <c:v>Similarity-based</c:v>
                </c:pt>
              </c:strCache>
            </c:strRef>
          </c:tx>
          <c:spPr>
            <a:solidFill>
              <a:schemeClr val="accent6"/>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raw_data!$HF$20:$HF$32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0427-2746-81FF-42B0293698A3}"/>
            </c:ext>
          </c:extLst>
        </c:ser>
        <c:ser>
          <c:idx val="6"/>
          <c:order val="6"/>
          <c:tx>
            <c:strRef>
              <c:f>raw_data!$HG$19</c:f>
              <c:strCache>
                <c:ptCount val="1"/>
                <c:pt idx="0">
                  <c:v>Model-based</c:v>
                </c:pt>
              </c:strCache>
            </c:strRef>
          </c:tx>
          <c:spPr>
            <a:solidFill>
              <a:schemeClr val="accent1">
                <a:lumMod val="60000"/>
              </a:schemeClr>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raw_data!$HG$20:$HG$32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0427-2746-81FF-42B0293698A3}"/>
            </c:ext>
          </c:extLst>
        </c:ser>
        <c:ser>
          <c:idx val="7"/>
          <c:order val="7"/>
          <c:tx>
            <c:strRef>
              <c:f>raw_data!$HH$19</c:f>
              <c:strCache>
                <c:ptCount val="1"/>
                <c:pt idx="0">
                  <c:v>Dependency-based</c:v>
                </c:pt>
              </c:strCache>
            </c:strRef>
          </c:tx>
          <c:spPr>
            <a:solidFill>
              <a:schemeClr val="accent2">
                <a:lumMod val="60000"/>
              </a:schemeClr>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raw_data!$HH$20:$HH$32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0427-2746-81FF-42B0293698A3}"/>
            </c:ext>
          </c:extLst>
        </c:ser>
        <c:ser>
          <c:idx val="8"/>
          <c:order val="8"/>
          <c:tx>
            <c:strRef>
              <c:f>raw_data!$HI$19</c:f>
              <c:strCache>
                <c:ptCount val="1"/>
                <c:pt idx="0">
                  <c:v>Quantum-based</c:v>
                </c:pt>
              </c:strCache>
            </c:strRef>
          </c:tx>
          <c:spPr>
            <a:solidFill>
              <a:schemeClr val="tx1"/>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raw_data!$HI$20:$HI$32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8-0427-2746-81FF-42B0293698A3}"/>
            </c:ext>
          </c:extLst>
        </c:ser>
        <c:ser>
          <c:idx val="9"/>
          <c:order val="9"/>
          <c:tx>
            <c:strRef>
              <c:f>raw_data!$HJ$19</c:f>
              <c:strCache>
                <c:ptCount val="1"/>
                <c:pt idx="0">
                  <c:v>Genetic Algorithm</c:v>
                </c:pt>
              </c:strCache>
            </c:strRef>
          </c:tx>
          <c:spPr>
            <a:solidFill>
              <a:schemeClr val="accent4">
                <a:lumMod val="60000"/>
              </a:schemeClr>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raw_data!$HJ$20:$HJ$32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427-2746-81FF-42B0293698A3}"/>
            </c:ext>
          </c:extLst>
        </c:ser>
        <c:ser>
          <c:idx val="10"/>
          <c:order val="10"/>
          <c:tx>
            <c:strRef>
              <c:f>raw_data!$HK$19</c:f>
              <c:strCache>
                <c:ptCount val="1"/>
                <c:pt idx="0">
                  <c:v>Graph-based</c:v>
                </c:pt>
              </c:strCache>
            </c:strRef>
          </c:tx>
          <c:spPr>
            <a:solidFill>
              <a:schemeClr val="tx2">
                <a:lumMod val="25000"/>
                <a:lumOff val="75000"/>
              </a:schemeClr>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raw_data!$HK$20:$HK$32</c:f>
              <c:numCache>
                <c:formatCode>General</c:formatCode>
                <c:ptCount val="13"/>
                <c:pt idx="0">
                  <c:v>0</c:v>
                </c:pt>
                <c:pt idx="1">
                  <c:v>0</c:v>
                </c:pt>
                <c:pt idx="2">
                  <c:v>0</c:v>
                </c:pt>
                <c:pt idx="3">
                  <c:v>0</c:v>
                </c:pt>
                <c:pt idx="4">
                  <c:v>0</c:v>
                </c:pt>
                <c:pt idx="5">
                  <c:v>1</c:v>
                </c:pt>
                <c:pt idx="6">
                  <c:v>0</c:v>
                </c:pt>
                <c:pt idx="7">
                  <c:v>0</c:v>
                </c:pt>
                <c:pt idx="8">
                  <c:v>0</c:v>
                </c:pt>
                <c:pt idx="9">
                  <c:v>0</c:v>
                </c:pt>
                <c:pt idx="10">
                  <c:v>0</c:v>
                </c:pt>
                <c:pt idx="11">
                  <c:v>0</c:v>
                </c:pt>
                <c:pt idx="12">
                  <c:v>1</c:v>
                </c:pt>
              </c:numCache>
            </c:numRef>
          </c:val>
          <c:extLst>
            <c:ext xmlns:c16="http://schemas.microsoft.com/office/drawing/2014/chart" uri="{C3380CC4-5D6E-409C-BE32-E72D297353CC}">
              <c16:uniqueId val="{0000000A-0427-2746-81FF-42B0293698A3}"/>
            </c:ext>
          </c:extLst>
        </c:ser>
        <c:ser>
          <c:idx val="11"/>
          <c:order val="11"/>
          <c:tx>
            <c:strRef>
              <c:f>raw_data!$HL$19</c:f>
              <c:strCache>
                <c:ptCount val="1"/>
                <c:pt idx="0">
                  <c:v>Greedy Algorithm</c:v>
                </c:pt>
              </c:strCache>
            </c:strRef>
          </c:tx>
          <c:spPr>
            <a:solidFill>
              <a:schemeClr val="accent6">
                <a:lumMod val="60000"/>
              </a:schemeClr>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raw_data!$HL$20:$HL$32</c:f>
              <c:numCache>
                <c:formatCode>General</c:formatCode>
                <c:ptCount val="13"/>
                <c:pt idx="0">
                  <c:v>0</c:v>
                </c:pt>
                <c:pt idx="1">
                  <c:v>1</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B-0427-2746-81FF-42B0293698A3}"/>
            </c:ext>
          </c:extLst>
        </c:ser>
        <c:ser>
          <c:idx val="12"/>
          <c:order val="12"/>
          <c:tx>
            <c:strRef>
              <c:f>raw_data!$HM$19</c:f>
              <c:strCache>
                <c:ptCount val="1"/>
                <c:pt idx="0">
                  <c:v>Dynamic Programming</c:v>
                </c:pt>
              </c:strCache>
            </c:strRef>
          </c:tx>
          <c:spPr>
            <a:solidFill>
              <a:srgbClr val="FFFF00"/>
            </a:solidFill>
            <a:ln>
              <a:noFill/>
            </a:ln>
            <a:effectLst/>
          </c:spPr>
          <c:invertIfNegative val="0"/>
          <c:cat>
            <c:numRef>
              <c:f>raw_data!$GZ$20:$GZ$32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raw_data!$HM$20:$HM$32</c:f>
              <c:numCache>
                <c:formatCode>General</c:formatCode>
                <c:ptCount val="13"/>
                <c:pt idx="0">
                  <c:v>0</c:v>
                </c:pt>
                <c:pt idx="1">
                  <c:v>0</c:v>
                </c:pt>
                <c:pt idx="2">
                  <c:v>0</c:v>
                </c:pt>
                <c:pt idx="3">
                  <c:v>0</c:v>
                </c:pt>
                <c:pt idx="4">
                  <c:v>0</c:v>
                </c:pt>
                <c:pt idx="5">
                  <c:v>0</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C-0427-2746-81FF-42B0293698A3}"/>
            </c:ext>
          </c:extLst>
        </c:ser>
        <c:dLbls>
          <c:showLegendKey val="0"/>
          <c:showVal val="0"/>
          <c:showCatName val="0"/>
          <c:showSerName val="0"/>
          <c:showPercent val="0"/>
          <c:showBubbleSize val="0"/>
        </c:dLbls>
        <c:gapWidth val="150"/>
        <c:overlap val="100"/>
        <c:axId val="2124832639"/>
        <c:axId val="2124830399"/>
      </c:barChart>
      <c:catAx>
        <c:axId val="2124832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4830399"/>
        <c:crosses val="autoZero"/>
        <c:auto val="1"/>
        <c:lblAlgn val="ctr"/>
        <c:lblOffset val="100"/>
        <c:noMultiLvlLbl val="0"/>
      </c:catAx>
      <c:valAx>
        <c:axId val="212483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483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raw_data!$AR$2</c:f>
              <c:strCache>
                <c:ptCount val="1"/>
                <c:pt idx="0">
                  <c:v>Minimization</c:v>
                </c:pt>
              </c:strCache>
            </c:strRef>
          </c:tx>
          <c:spPr>
            <a:solidFill>
              <a:schemeClr val="accent1"/>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raw_data!$AP$3:$AP$15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raw_data!$AR$3:$AR$15</c:f>
              <c:numCache>
                <c:formatCode>General</c:formatCode>
                <c:ptCount val="13"/>
                <c:pt idx="0">
                  <c:v>1</c:v>
                </c:pt>
                <c:pt idx="1">
                  <c:v>0</c:v>
                </c:pt>
                <c:pt idx="2">
                  <c:v>0</c:v>
                </c:pt>
                <c:pt idx="3">
                  <c:v>0</c:v>
                </c:pt>
                <c:pt idx="4">
                  <c:v>0</c:v>
                </c:pt>
                <c:pt idx="5">
                  <c:v>0</c:v>
                </c:pt>
                <c:pt idx="6">
                  <c:v>0</c:v>
                </c:pt>
                <c:pt idx="7">
                  <c:v>0</c:v>
                </c:pt>
                <c:pt idx="8">
                  <c:v>0</c:v>
                </c:pt>
                <c:pt idx="9">
                  <c:v>1</c:v>
                </c:pt>
                <c:pt idx="10">
                  <c:v>0</c:v>
                </c:pt>
                <c:pt idx="11">
                  <c:v>1</c:v>
                </c:pt>
                <c:pt idx="12">
                  <c:v>0</c:v>
                </c:pt>
              </c:numCache>
            </c:numRef>
          </c:val>
          <c:extLst>
            <c:ext xmlns:c16="http://schemas.microsoft.com/office/drawing/2014/chart" uri="{C3380CC4-5D6E-409C-BE32-E72D297353CC}">
              <c16:uniqueId val="{00000000-4E47-7444-B4A8-005F1B19B44C}"/>
            </c:ext>
          </c:extLst>
        </c:ser>
        <c:ser>
          <c:idx val="1"/>
          <c:order val="1"/>
          <c:tx>
            <c:strRef>
              <c:f>raw_data!$AS$2</c:f>
              <c:strCache>
                <c:ptCount val="1"/>
                <c:pt idx="0">
                  <c:v>Selection</c:v>
                </c:pt>
              </c:strCache>
            </c:strRef>
          </c:tx>
          <c:spPr>
            <a:solidFill>
              <a:schemeClr val="accent2"/>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raw_data!$AP$3:$AP$15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raw_data!$AS$3:$AS$15</c:f>
              <c:numCache>
                <c:formatCode>General</c:formatCode>
                <c:ptCount val="13"/>
                <c:pt idx="0">
                  <c:v>2</c:v>
                </c:pt>
                <c:pt idx="1">
                  <c:v>2</c:v>
                </c:pt>
                <c:pt idx="2">
                  <c:v>0</c:v>
                </c:pt>
                <c:pt idx="3">
                  <c:v>2</c:v>
                </c:pt>
                <c:pt idx="4">
                  <c:v>3</c:v>
                </c:pt>
                <c:pt idx="5">
                  <c:v>4</c:v>
                </c:pt>
                <c:pt idx="6">
                  <c:v>2</c:v>
                </c:pt>
                <c:pt idx="7">
                  <c:v>1</c:v>
                </c:pt>
                <c:pt idx="8">
                  <c:v>1</c:v>
                </c:pt>
                <c:pt idx="9">
                  <c:v>1</c:v>
                </c:pt>
                <c:pt idx="10">
                  <c:v>2</c:v>
                </c:pt>
                <c:pt idx="11">
                  <c:v>1</c:v>
                </c:pt>
                <c:pt idx="12">
                  <c:v>1</c:v>
                </c:pt>
              </c:numCache>
            </c:numRef>
          </c:val>
          <c:extLst>
            <c:ext xmlns:c16="http://schemas.microsoft.com/office/drawing/2014/chart" uri="{C3380CC4-5D6E-409C-BE32-E72D297353CC}">
              <c16:uniqueId val="{00000001-4E47-7444-B4A8-005F1B19B44C}"/>
            </c:ext>
          </c:extLst>
        </c:ser>
        <c:ser>
          <c:idx val="2"/>
          <c:order val="2"/>
          <c:tx>
            <c:strRef>
              <c:f>raw_data!$AT$2</c:f>
              <c:strCache>
                <c:ptCount val="1"/>
                <c:pt idx="0">
                  <c:v>Prioritization</c:v>
                </c:pt>
              </c:strCache>
            </c:strRef>
          </c:tx>
          <c:spPr>
            <a:solidFill>
              <a:schemeClr val="accent3"/>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raw_data!$AP$3:$AP$15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raw_data!$AT$3:$AT$15</c:f>
              <c:numCache>
                <c:formatCode>General</c:formatCode>
                <c:ptCount val="13"/>
                <c:pt idx="0">
                  <c:v>4</c:v>
                </c:pt>
                <c:pt idx="1">
                  <c:v>6</c:v>
                </c:pt>
                <c:pt idx="2">
                  <c:v>8</c:v>
                </c:pt>
                <c:pt idx="3">
                  <c:v>7</c:v>
                </c:pt>
                <c:pt idx="4">
                  <c:v>6</c:v>
                </c:pt>
                <c:pt idx="5">
                  <c:v>8</c:v>
                </c:pt>
                <c:pt idx="6">
                  <c:v>12</c:v>
                </c:pt>
                <c:pt idx="7">
                  <c:v>6</c:v>
                </c:pt>
                <c:pt idx="8">
                  <c:v>6</c:v>
                </c:pt>
                <c:pt idx="9">
                  <c:v>17</c:v>
                </c:pt>
                <c:pt idx="10">
                  <c:v>7</c:v>
                </c:pt>
                <c:pt idx="11">
                  <c:v>5</c:v>
                </c:pt>
                <c:pt idx="12">
                  <c:v>0</c:v>
                </c:pt>
              </c:numCache>
            </c:numRef>
          </c:val>
          <c:extLst>
            <c:ext xmlns:c16="http://schemas.microsoft.com/office/drawing/2014/chart" uri="{C3380CC4-5D6E-409C-BE32-E72D297353CC}">
              <c16:uniqueId val="{00000002-4E47-7444-B4A8-005F1B19B44C}"/>
            </c:ext>
          </c:extLst>
        </c:ser>
        <c:dLbls>
          <c:showLegendKey val="0"/>
          <c:showVal val="0"/>
          <c:showCatName val="0"/>
          <c:showSerName val="0"/>
          <c:showPercent val="0"/>
          <c:showBubbleSize val="0"/>
        </c:dLbls>
        <c:gapWidth val="150"/>
        <c:overlap val="100"/>
        <c:axId val="1411619391"/>
        <c:axId val="1411612671"/>
      </c:barChart>
      <c:catAx>
        <c:axId val="141161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12671"/>
        <c:crosses val="autoZero"/>
        <c:auto val="1"/>
        <c:lblAlgn val="ctr"/>
        <c:lblOffset val="100"/>
        <c:noMultiLvlLbl val="0"/>
      </c:catAx>
      <c:valAx>
        <c:axId val="141161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19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raw_data!$AQ$2</c:f>
              <c:strCache>
                <c:ptCount val="1"/>
                <c:pt idx="0">
                  <c:v>Totale_PS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raw_data!$AP$3:$AP$15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raw_data!$AQ$3:$AQ$15</c:f>
              <c:numCache>
                <c:formatCode>General</c:formatCode>
                <c:ptCount val="13"/>
                <c:pt idx="0">
                  <c:v>5</c:v>
                </c:pt>
                <c:pt idx="1">
                  <c:v>7</c:v>
                </c:pt>
                <c:pt idx="2">
                  <c:v>8</c:v>
                </c:pt>
                <c:pt idx="3">
                  <c:v>9</c:v>
                </c:pt>
                <c:pt idx="4">
                  <c:v>7</c:v>
                </c:pt>
                <c:pt idx="5">
                  <c:v>13</c:v>
                </c:pt>
                <c:pt idx="6">
                  <c:v>13</c:v>
                </c:pt>
                <c:pt idx="7">
                  <c:v>7</c:v>
                </c:pt>
                <c:pt idx="8">
                  <c:v>7</c:v>
                </c:pt>
                <c:pt idx="9">
                  <c:v>17</c:v>
                </c:pt>
                <c:pt idx="10">
                  <c:v>9</c:v>
                </c:pt>
                <c:pt idx="11">
                  <c:v>7</c:v>
                </c:pt>
                <c:pt idx="12">
                  <c:v>1</c:v>
                </c:pt>
              </c:numCache>
            </c:numRef>
          </c:val>
          <c:extLst>
            <c:ext xmlns:c16="http://schemas.microsoft.com/office/drawing/2014/chart" uri="{C3380CC4-5D6E-409C-BE32-E72D297353CC}">
              <c16:uniqueId val="{00000000-DF59-E442-9E23-7B8CA56DF085}"/>
            </c:ext>
          </c:extLst>
        </c:ser>
        <c:dLbls>
          <c:showLegendKey val="0"/>
          <c:showVal val="0"/>
          <c:showCatName val="0"/>
          <c:showSerName val="0"/>
          <c:showPercent val="0"/>
          <c:showBubbleSize val="0"/>
        </c:dLbls>
        <c:gapWidth val="219"/>
        <c:overlap val="-27"/>
        <c:axId val="1411621631"/>
        <c:axId val="1411620735"/>
      </c:barChart>
      <c:catAx>
        <c:axId val="141162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20735"/>
        <c:crosses val="autoZero"/>
        <c:auto val="1"/>
        <c:lblAlgn val="ctr"/>
        <c:lblOffset val="100"/>
        <c:noMultiLvlLbl val="0"/>
      </c:catAx>
      <c:valAx>
        <c:axId val="141162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21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No Replication</c:v>
          </c:tx>
          <c:spPr>
            <a:solidFill>
              <a:schemeClr val="accent1"/>
            </a:solidFill>
            <a:ln>
              <a:noFill/>
            </a:ln>
            <a:effectLst/>
          </c:spPr>
          <c:invertIfNegative val="0"/>
          <c:cat>
            <c:numRef>
              <c:f>raw_data!$CN$3:$CN$15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raw_data!$CO$3:$CO$15</c:f>
              <c:numCache>
                <c:formatCode>General</c:formatCode>
                <c:ptCount val="13"/>
                <c:pt idx="0">
                  <c:v>4</c:v>
                </c:pt>
                <c:pt idx="1">
                  <c:v>4</c:v>
                </c:pt>
                <c:pt idx="2">
                  <c:v>3</c:v>
                </c:pt>
                <c:pt idx="3">
                  <c:v>4</c:v>
                </c:pt>
                <c:pt idx="4">
                  <c:v>6</c:v>
                </c:pt>
                <c:pt idx="5">
                  <c:v>7</c:v>
                </c:pt>
                <c:pt idx="6">
                  <c:v>8</c:v>
                </c:pt>
                <c:pt idx="7">
                  <c:v>4</c:v>
                </c:pt>
                <c:pt idx="8">
                  <c:v>2</c:v>
                </c:pt>
                <c:pt idx="9">
                  <c:v>6</c:v>
                </c:pt>
                <c:pt idx="10">
                  <c:v>3</c:v>
                </c:pt>
                <c:pt idx="11">
                  <c:v>2</c:v>
                </c:pt>
                <c:pt idx="12">
                  <c:v>0</c:v>
                </c:pt>
              </c:numCache>
            </c:numRef>
          </c:val>
          <c:extLst>
            <c:ext xmlns:c16="http://schemas.microsoft.com/office/drawing/2014/chart" uri="{C3380CC4-5D6E-409C-BE32-E72D297353CC}">
              <c16:uniqueId val="{00000000-114E-2E44-8D18-F95F58102660}"/>
            </c:ext>
          </c:extLst>
        </c:ser>
        <c:ser>
          <c:idx val="1"/>
          <c:order val="1"/>
          <c:tx>
            <c:v>Partial Replication</c:v>
          </c:tx>
          <c:spPr>
            <a:solidFill>
              <a:schemeClr val="accent2"/>
            </a:solidFill>
            <a:ln>
              <a:noFill/>
            </a:ln>
            <a:effectLst/>
          </c:spPr>
          <c:invertIfNegative val="0"/>
          <c:cat>
            <c:numRef>
              <c:f>raw_data!$CN$3:$CN$15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raw_data!$CP$3:$CP$15</c:f>
              <c:numCache>
                <c:formatCode>General</c:formatCode>
                <c:ptCount val="13"/>
                <c:pt idx="0">
                  <c:v>1</c:v>
                </c:pt>
                <c:pt idx="1">
                  <c:v>3</c:v>
                </c:pt>
                <c:pt idx="2">
                  <c:v>5</c:v>
                </c:pt>
                <c:pt idx="3">
                  <c:v>4</c:v>
                </c:pt>
                <c:pt idx="4">
                  <c:v>0</c:v>
                </c:pt>
                <c:pt idx="5">
                  <c:v>4</c:v>
                </c:pt>
                <c:pt idx="6">
                  <c:v>4</c:v>
                </c:pt>
                <c:pt idx="7">
                  <c:v>0</c:v>
                </c:pt>
                <c:pt idx="8">
                  <c:v>2</c:v>
                </c:pt>
                <c:pt idx="9">
                  <c:v>6</c:v>
                </c:pt>
                <c:pt idx="10">
                  <c:v>2</c:v>
                </c:pt>
                <c:pt idx="11">
                  <c:v>2</c:v>
                </c:pt>
                <c:pt idx="12">
                  <c:v>1</c:v>
                </c:pt>
              </c:numCache>
            </c:numRef>
          </c:val>
          <c:extLst>
            <c:ext xmlns:c16="http://schemas.microsoft.com/office/drawing/2014/chart" uri="{C3380CC4-5D6E-409C-BE32-E72D297353CC}">
              <c16:uniqueId val="{00000001-114E-2E44-8D18-F95F58102660}"/>
            </c:ext>
          </c:extLst>
        </c:ser>
        <c:ser>
          <c:idx val="2"/>
          <c:order val="2"/>
          <c:tx>
            <c:v>Full Replication</c:v>
          </c:tx>
          <c:spPr>
            <a:solidFill>
              <a:schemeClr val="accent3"/>
            </a:solidFill>
            <a:ln>
              <a:noFill/>
            </a:ln>
            <a:effectLst/>
          </c:spPr>
          <c:invertIfNegative val="0"/>
          <c:cat>
            <c:numRef>
              <c:f>raw_data!$CN$3:$CN$15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raw_data!$CQ$3:$CQ$15</c:f>
              <c:numCache>
                <c:formatCode>General</c:formatCode>
                <c:ptCount val="13"/>
                <c:pt idx="0">
                  <c:v>0</c:v>
                </c:pt>
                <c:pt idx="1">
                  <c:v>0</c:v>
                </c:pt>
                <c:pt idx="2">
                  <c:v>0</c:v>
                </c:pt>
                <c:pt idx="3">
                  <c:v>1</c:v>
                </c:pt>
                <c:pt idx="4">
                  <c:v>1</c:v>
                </c:pt>
                <c:pt idx="5">
                  <c:v>2</c:v>
                </c:pt>
                <c:pt idx="6">
                  <c:v>1</c:v>
                </c:pt>
                <c:pt idx="7">
                  <c:v>3</c:v>
                </c:pt>
                <c:pt idx="8">
                  <c:v>3</c:v>
                </c:pt>
                <c:pt idx="9">
                  <c:v>4</c:v>
                </c:pt>
                <c:pt idx="10">
                  <c:v>4</c:v>
                </c:pt>
                <c:pt idx="11">
                  <c:v>3</c:v>
                </c:pt>
                <c:pt idx="12">
                  <c:v>0</c:v>
                </c:pt>
              </c:numCache>
            </c:numRef>
          </c:val>
          <c:extLst>
            <c:ext xmlns:c16="http://schemas.microsoft.com/office/drawing/2014/chart" uri="{C3380CC4-5D6E-409C-BE32-E72D297353CC}">
              <c16:uniqueId val="{00000002-114E-2E44-8D18-F95F58102660}"/>
            </c:ext>
          </c:extLst>
        </c:ser>
        <c:dLbls>
          <c:showLegendKey val="0"/>
          <c:showVal val="0"/>
          <c:showCatName val="0"/>
          <c:showSerName val="0"/>
          <c:showPercent val="0"/>
          <c:showBubbleSize val="0"/>
        </c:dLbls>
        <c:gapWidth val="219"/>
        <c:overlap val="-27"/>
        <c:axId val="1586490304"/>
        <c:axId val="1586482688"/>
      </c:barChart>
      <c:catAx>
        <c:axId val="15864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586482688"/>
        <c:crosses val="autoZero"/>
        <c:auto val="1"/>
        <c:lblAlgn val="ctr"/>
        <c:lblOffset val="100"/>
        <c:noMultiLvlLbl val="0"/>
      </c:catAx>
      <c:valAx>
        <c:axId val="158648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58649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180</xdr:col>
      <xdr:colOff>401780</xdr:colOff>
      <xdr:row>36</xdr:row>
      <xdr:rowOff>314421</xdr:rowOff>
    </xdr:from>
    <xdr:to>
      <xdr:col>199</xdr:col>
      <xdr:colOff>135468</xdr:colOff>
      <xdr:row>40</xdr:row>
      <xdr:rowOff>1134534</xdr:rowOff>
    </xdr:to>
    <xdr:graphicFrame macro="">
      <xdr:nvGraphicFramePr>
        <xdr:cNvPr id="13" name="Grafico 12">
          <a:extLst>
            <a:ext uri="{FF2B5EF4-FFF2-40B4-BE49-F238E27FC236}">
              <a16:creationId xmlns:a16="http://schemas.microsoft.com/office/drawing/2014/main" id="{EC47B5C7-C66D-9558-0970-78FFFDBBE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177</xdr:col>
      <xdr:colOff>169333</xdr:colOff>
      <xdr:row>2</xdr:row>
      <xdr:rowOff>1269231</xdr:rowOff>
    </xdr:from>
    <xdr:to>
      <xdr:col>193</xdr:col>
      <xdr:colOff>716588</xdr:colOff>
      <xdr:row>3</xdr:row>
      <xdr:rowOff>3708400</xdr:rowOff>
    </xdr:to>
    <xdr:graphicFrame macro="">
      <xdr:nvGraphicFramePr>
        <xdr:cNvPr id="14" name="Grafico 13">
          <a:extLst>
            <a:ext uri="{FF2B5EF4-FFF2-40B4-BE49-F238E27FC236}">
              <a16:creationId xmlns:a16="http://schemas.microsoft.com/office/drawing/2014/main" id="{D710B9CA-E9E3-E618-210E-3933C9C0D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180</xdr:col>
      <xdr:colOff>596568</xdr:colOff>
      <xdr:row>79</xdr:row>
      <xdr:rowOff>1301064</xdr:rowOff>
    </xdr:from>
    <xdr:to>
      <xdr:col>189</xdr:col>
      <xdr:colOff>116266</xdr:colOff>
      <xdr:row>81</xdr:row>
      <xdr:rowOff>1129612</xdr:rowOff>
    </xdr:to>
    <xdr:graphicFrame macro="">
      <xdr:nvGraphicFramePr>
        <xdr:cNvPr id="15" name="Grafico 14">
          <a:extLst>
            <a:ext uri="{FF2B5EF4-FFF2-40B4-BE49-F238E27FC236}">
              <a16:creationId xmlns:a16="http://schemas.microsoft.com/office/drawing/2014/main" id="{328C2221-8FEE-880D-8EBC-59C4057D2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205</xdr:col>
      <xdr:colOff>715818</xdr:colOff>
      <xdr:row>13</xdr:row>
      <xdr:rowOff>1284111</xdr:rowOff>
    </xdr:from>
    <xdr:to>
      <xdr:col>220</xdr:col>
      <xdr:colOff>649111</xdr:colOff>
      <xdr:row>14</xdr:row>
      <xdr:rowOff>3271212</xdr:rowOff>
    </xdr:to>
    <xdr:graphicFrame macro="">
      <xdr:nvGraphicFramePr>
        <xdr:cNvPr id="16" name="Grafico 15">
          <a:extLst>
            <a:ext uri="{FF2B5EF4-FFF2-40B4-BE49-F238E27FC236}">
              <a16:creationId xmlns:a16="http://schemas.microsoft.com/office/drawing/2014/main" id="{441F94AC-2A7C-321D-1613-9EC77A86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205</xdr:col>
      <xdr:colOff>626534</xdr:colOff>
      <xdr:row>31</xdr:row>
      <xdr:rowOff>1981200</xdr:rowOff>
    </xdr:from>
    <xdr:to>
      <xdr:col>222</xdr:col>
      <xdr:colOff>626533</xdr:colOff>
      <xdr:row>32</xdr:row>
      <xdr:rowOff>2269067</xdr:rowOff>
    </xdr:to>
    <xdr:graphicFrame macro="">
      <xdr:nvGraphicFramePr>
        <xdr:cNvPr id="17" name="Grafico 16">
          <a:extLst>
            <a:ext uri="{FF2B5EF4-FFF2-40B4-BE49-F238E27FC236}">
              <a16:creationId xmlns:a16="http://schemas.microsoft.com/office/drawing/2014/main" id="{C2FEBCDF-0C08-E06C-12B5-CB5AA83D9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189844</xdr:colOff>
      <xdr:row>3</xdr:row>
      <xdr:rowOff>4767090</xdr:rowOff>
    </xdr:from>
    <xdr:to>
      <xdr:col>45</xdr:col>
      <xdr:colOff>589327</xdr:colOff>
      <xdr:row>5</xdr:row>
      <xdr:rowOff>601490</xdr:rowOff>
    </xdr:to>
    <xdr:graphicFrame macro="">
      <xdr:nvGraphicFramePr>
        <xdr:cNvPr id="3" name="Grafico 2">
          <a:extLst>
            <a:ext uri="{FF2B5EF4-FFF2-40B4-BE49-F238E27FC236}">
              <a16:creationId xmlns:a16="http://schemas.microsoft.com/office/drawing/2014/main" id="{7DF74473-10AB-A5CA-18A8-547F1210E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288580</xdr:colOff>
      <xdr:row>1</xdr:row>
      <xdr:rowOff>704521</xdr:rowOff>
    </xdr:from>
    <xdr:to>
      <xdr:col>40</xdr:col>
      <xdr:colOff>88481</xdr:colOff>
      <xdr:row>2</xdr:row>
      <xdr:rowOff>2228522</xdr:rowOff>
    </xdr:to>
    <xdr:graphicFrame macro="">
      <xdr:nvGraphicFramePr>
        <xdr:cNvPr id="4" name="Grafico 3">
          <a:extLst>
            <a:ext uri="{FF2B5EF4-FFF2-40B4-BE49-F238E27FC236}">
              <a16:creationId xmlns:a16="http://schemas.microsoft.com/office/drawing/2014/main" id="{FDBB417C-8847-DC28-AF2C-9F84D02E6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94</xdr:col>
      <xdr:colOff>46506</xdr:colOff>
      <xdr:row>1</xdr:row>
      <xdr:rowOff>417131</xdr:rowOff>
    </xdr:from>
    <xdr:to>
      <xdr:col>103</xdr:col>
      <xdr:colOff>668985</xdr:colOff>
      <xdr:row>2</xdr:row>
      <xdr:rowOff>1073238</xdr:rowOff>
    </xdr:to>
    <xdr:graphicFrame macro="">
      <xdr:nvGraphicFramePr>
        <xdr:cNvPr id="2" name="Grafico 1">
          <a:extLst>
            <a:ext uri="{FF2B5EF4-FFF2-40B4-BE49-F238E27FC236}">
              <a16:creationId xmlns:a16="http://schemas.microsoft.com/office/drawing/2014/main" id="{9895AE14-8769-C1A1-3450-161BBFC5E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833F7F-E080-43F8-9768-AA4301CF37FA}" name="Table1" displayName="Table1" ref="A1:AI126" totalsRowShown="0" headerRowDxfId="36" dataDxfId="35">
  <autoFilter ref="A1:AI126" xr:uid="{42833F7F-E080-43F8-9768-AA4301CF37FA}"/>
  <tableColumns count="35">
    <tableColumn id="1" xr3:uid="{0511F5BB-9FB7-44C8-88A3-0DA623CD7DED}" name="ID" dataDxfId="34"/>
    <tableColumn id="2" xr3:uid="{9E7FB8B8-6F5B-45BC-9D86-32B198E67426}" name="EntryType" dataDxfId="33"/>
    <tableColumn id="3" xr3:uid="{11F1A5F6-2977-4660-A0D2-4C4F1C591B11}" name="Author" dataDxfId="32"/>
    <tableColumn id="4" xr3:uid="{83EB34C3-F472-4F86-8ECF-CAB83624F6D2}" name="Booktitle" dataDxfId="31"/>
    <tableColumn id="5" xr3:uid="{C8411DB0-4A3E-4576-AF63-686F2479D886}" name="Title" dataDxfId="30"/>
    <tableColumn id="6" xr3:uid="{D147F293-A927-43C5-BFD6-39CAD1569926}" name="Year" dataDxfId="29"/>
    <tableColumn id="7" xr3:uid="{FC01DC74-D5B5-491C-89F8-A7BE771188D0}" name="Volume" dataDxfId="28"/>
    <tableColumn id="8" xr3:uid="{0F266105-64F8-4048-8B44-6B90F9A6CF44}" name="Number" dataDxfId="27"/>
    <tableColumn id="9" xr3:uid="{3A013CB2-7B0D-4453-A5BF-AF11AE683207}" name="Pages" dataDxfId="26"/>
    <tableColumn id="10" xr3:uid="{2899C684-FACE-4032-920C-BDC043ABAD3E}" name="Abstract" dataDxfId="25"/>
    <tableColumn id="11" xr3:uid="{2AFE4A46-0F7C-4C6C-AFA1-477F2676685A}" name="Keywords" dataDxfId="24"/>
    <tableColumn id="12" xr3:uid="{B8DA6A48-1771-4793-AF06-9059CEC55381}" name="Doi" dataDxfId="23"/>
    <tableColumn id="13" xr3:uid="{18FD4BBC-20B6-41FB-B446-5B075A9133D2}" name="Issn" dataDxfId="22"/>
    <tableColumn id="14" xr3:uid="{A9377158-CC7F-452C-A545-89F408D2B048}" name="Month" dataDxfId="21"/>
    <tableColumn id="15" xr3:uid="{5A9BF441-C7A8-4AD0-B386-D86B0CFFDA5B}" name="Journal" dataDxfId="20"/>
    <tableColumn id="16" xr3:uid="{802764F0-6E9D-4F9F-B676-F848093F483E}" name="Isbn" dataDxfId="19"/>
    <tableColumn id="17" xr3:uid="{BB386162-09A3-441C-92DA-DD88A65A152F}" name="Publisher" dataDxfId="18"/>
    <tableColumn id="18" xr3:uid="{C447F28F-63CE-484C-88BE-2535B6179309}" name="Address" dataDxfId="17"/>
    <tableColumn id="19" xr3:uid="{333D6BA8-71A5-41A8-99CD-23DC3D9A25E6}" name="Url" dataDxfId="16"/>
    <tableColumn id="20" xr3:uid="{C267E55F-92D9-479D-BC80-B60EF79CBAFA}" name="Numpages" dataDxfId="15"/>
    <tableColumn id="21" xr3:uid="{01B43FB3-6BA9-4997-9C9A-8F22292A2010}" name="Location" dataDxfId="14"/>
    <tableColumn id="22" xr3:uid="{1944E784-4AEA-426E-A6B6-5514710E3148}" name="Series" dataDxfId="13"/>
    <tableColumn id="23" xr3:uid="{0B0D97D6-121D-4044-9B78-29DD000CD814}" name="Articleno" dataDxfId="12"/>
    <tableColumn id="24" xr3:uid="{F3A597D8-D638-4541-BC78-8848E5E093DE}" name="text" dataDxfId="11"/>
    <tableColumn id="25" xr3:uid="{3D3D94E9-8A39-40BB-A7B6-FEE6B4B2FE88}" name="Type" dataDxfId="10"/>
    <tableColumn id="26" xr3:uid="{F20812F9-5D02-48FC-9FBD-63E9DE0A16E3}" name="RQ1.1" dataDxfId="9"/>
    <tableColumn id="27" xr3:uid="{CC16A2CC-91C7-49E5-B0EE-39EE764FAF7B}" name="RQ1.2" dataDxfId="8"/>
    <tableColumn id="28" xr3:uid="{46F11C4D-5F1B-4C2E-9B7B-8937EE826B43}" name="RQ1.3" dataDxfId="7"/>
    <tableColumn id="29" xr3:uid="{42E28D44-7C37-4D52-BB92-9821A121D52C}" name="RQ1.3a" dataDxfId="6"/>
    <tableColumn id="30" xr3:uid="{838D8DA3-781A-4917-8143-E109FEA0FD46}" name="RQ2.1" dataDxfId="5"/>
    <tableColumn id="31" xr3:uid="{F333E07E-2DEC-4962-8032-893C30E8855F}" name="RQ2.2" dataDxfId="4"/>
    <tableColumn id="32" xr3:uid="{855DA278-B2AB-453E-A7C4-9F509D24595E}" name="RQ2.3" dataDxfId="3"/>
    <tableColumn id="33" xr3:uid="{F308355C-CF18-4470-9828-BB0328BCAF76}" name="RQ3.1" dataDxfId="2"/>
    <tableColumn id="34" xr3:uid="{55AFBED2-0171-4EBA-9713-3713AB2FB7E0}" name="RQ3.2" dataDxfId="1"/>
    <tableColumn id="35" xr3:uid="{FEA3D040-110F-48AD-B265-1CC72F3E0BD1}" name="Other" dataDxfId="0"/>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749F02-F0EB-4FC0-9576-2321058D1EE6}" name="Table2" displayName="Table2" ref="A1:E15" totalsRowCount="1" dataCellStyle="Normal">
  <autoFilter ref="A1:E14" xr:uid="{21749F02-F0EB-4FC0-9576-2321058D1EE6}"/>
  <tableColumns count="5">
    <tableColumn id="1" xr3:uid="{1B7D7B6E-A982-4043-AC5E-7EFABDB506D3}" name="Anno" totalsRowLabel="Total" dataCellStyle="Normal"/>
    <tableColumn id="2" xr3:uid="{E1AB1D57-CD09-4679-B4A8-927D8E7BFA8C}" name="Totale_PS" totalsRowFunction="sum" dataCellStyle="Normal"/>
    <tableColumn id="3" xr3:uid="{C4C459A2-3634-4A12-AAD7-30FC91969F18}" name="Minimization" totalsRowFunction="sum" dataCellStyle="Normal"/>
    <tableColumn id="4" xr3:uid="{908714C8-B36D-4839-9570-D26761CDE458}" name="Selection" totalsRowFunction="sum" dataCellStyle="Normal"/>
    <tableColumn id="5" xr3:uid="{E78DCFF3-63A6-4CC2-BCD1-EEE6E27E0193}" name="Prioritization" totalsRowFunction="sum" dataCellStyle="Normal"/>
  </tableColumns>
  <tableStyleInfo name="TableStyleMedium18"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092F88-9A5B-4AC3-90D9-2AD8211489DF}" name="Table7" displayName="Table7" ref="A7:C17" totalsRowShown="0">
  <autoFilter ref="A7:C17" xr:uid="{DB092F88-9A5B-4AC3-90D9-2AD8211489DF}"/>
  <tableColumns count="3">
    <tableColumn id="1" xr3:uid="{00158DF4-E73B-4085-8AAC-4740524C9315}" name="pubtype"/>
    <tableColumn id="2" xr3:uid="{8509A622-C333-47D9-88E3-9AD94BC03BBC}" name="IDQ"/>
    <tableColumn id="3" xr3:uid="{9594B068-D73C-4369-A503-D8445C863056}" name="count"/>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41F714-787B-4DF5-952C-18709ACBB07F}" name="Table4" displayName="Table4" ref="A1:D14" totalsRowShown="0">
  <autoFilter ref="A1:D14" xr:uid="{2041F714-787B-4DF5-952C-18709ACBB07F}"/>
  <tableColumns count="4">
    <tableColumn id="1" xr3:uid="{C832210B-C977-4CC0-B344-B48659D5F44B}" name="Anno"/>
    <tableColumn id="2" xr3:uid="{A650C190-86A9-4AB2-8749-D321F21D4226}" name="No Replication"/>
    <tableColumn id="3" xr3:uid="{1A9FAA6A-AAAD-4CCE-8E42-AAE24F64504B}" name="Partial Replication"/>
    <tableColumn id="4" xr3:uid="{33D6E4DD-BFFD-4C43-8C5C-5867DB5186FC}" name="Full Replication"/>
  </tableColumns>
  <tableStyleInfo name="TableStyleMedium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482A75-67B8-4348-A128-516A03A72ACC}" name="Table3" displayName="Table3" ref="A1:G11" totalsRowShown="0">
  <autoFilter ref="A1:G11" xr:uid="{A9482A75-67B8-4348-A128-516A03A72ACC}"/>
  <tableColumns count="7">
    <tableColumn id="1" xr3:uid="{395DB3E8-6222-4898-87A6-E2056DCFDC5D}" name="Taxonomy"/>
    <tableColumn id="2" xr3:uid="{E0D312DA-56DC-4542-B481-E67D5D96E059}" name="Heuristic-based"/>
    <tableColumn id="3" xr3:uid="{8AE0DD80-9614-4222-A0C9-2F7754DA061A}" name="Meta-heuristic-based"/>
    <tableColumn id="4" xr3:uid="{237E1997-B643-406D-9FD0-F0FE3723AA02}" name="Graph-based"/>
    <tableColumn id="5" xr3:uid="{4C460DAC-021A-430B-9A37-2DFE6AA71BD7}" name="Dynamic Programming"/>
    <tableColumn id="6" xr3:uid="{572B4B43-754C-4C0A-9E03-3FB0AD7980F3}" name="ML-based"/>
    <tableColumn id="7" xr3:uid="{44CCDFB2-7822-4177-801C-C272A9FB758B}" name="Greedy"/>
  </tableColumns>
  <tableStyleInfo name="TableStyleMedium20"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9868C9-B826-4E6A-928E-C718CF0D61DD}" name="Table5" displayName="Table5" ref="A1:G5" totalsRowShown="0">
  <autoFilter ref="A1:G5" xr:uid="{7C9868C9-B826-4E6A-928E-C718CF0D61DD}"/>
  <tableColumns count="7">
    <tableColumn id="1" xr3:uid="{2CF23C56-CD16-43DE-8273-AE95BB3BD697}" name="Taxonomy"/>
    <tableColumn id="2" xr3:uid="{119CCCD6-722F-46BF-83E9-A5F6E6D65D18}" name="Heuristic"/>
    <tableColumn id="3" xr3:uid="{733BFA8C-6978-4BAE-B42B-AE344332EFB3}" name="meta-heuristic"/>
    <tableColumn id="4" xr3:uid="{9FE9C7A1-43B8-4E36-9EA2-8F63E4AEDB92}" name="Graph-based"/>
    <tableColumn id="5" xr3:uid="{6ABD4098-592E-4FE9-AE6E-07E26DBD421D}" name="Dynamic Programming"/>
    <tableColumn id="6" xr3:uid="{927C42CC-4470-40CC-BDD0-165EAF1ADDB0}" name="ML-based"/>
    <tableColumn id="7" xr3:uid="{448942D9-8F7B-4870-9610-48875DFCAC09}" name="Greedy"/>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427D65-C1BB-4033-B0DD-E94497FE33A0}" name="Table6" displayName="Table6" ref="A1:C11" totalsRowShown="0">
  <autoFilter ref="A1:C11" xr:uid="{60427D65-C1BB-4033-B0DD-E94497FE33A0}"/>
  <tableColumns count="3">
    <tableColumn id="1" xr3:uid="{753159F4-E1F4-4C7F-B96C-8F83BFFE0C97}" name="Category"/>
    <tableColumn id="2" xr3:uid="{0FC65BCC-69FC-4BB2-9DAB-17504311DCEC}" name="Dataset"/>
    <tableColumn id="3" xr3:uid="{CA0BB715-AB2B-45E1-BD50-EC4A32F5B80B}" name="Count"/>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ksuci.2021.08.011" TargetMode="External"/><Relationship Id="rId13" Type="http://schemas.openxmlformats.org/officeDocument/2006/relationships/hyperlink" Target="https://www.sciencedirect.com/science/article/pii/S1383762125000153" TargetMode="External"/><Relationship Id="rId18" Type="http://schemas.openxmlformats.org/officeDocument/2006/relationships/hyperlink" Target="https://doi.org/10.1016/j.jss.2023.111802" TargetMode="External"/><Relationship Id="rId3" Type="http://schemas.openxmlformats.org/officeDocument/2006/relationships/hyperlink" Target="https://www.sciencedirect.com/science/article/pii/S016412121930072X" TargetMode="External"/><Relationship Id="rId21" Type="http://schemas.openxmlformats.org/officeDocument/2006/relationships/hyperlink" Target="https://www.sciencedirect.com/science/article/pii/S0164121222001285" TargetMode="External"/><Relationship Id="rId7" Type="http://schemas.openxmlformats.org/officeDocument/2006/relationships/hyperlink" Target="https://doi.org/10.1145/3019612.3019831" TargetMode="External"/><Relationship Id="rId12" Type="http://schemas.openxmlformats.org/officeDocument/2006/relationships/hyperlink" Target="https://doi.org/10.1016/j.sysarc.2025.103343" TargetMode="External"/><Relationship Id="rId17" Type="http://schemas.openxmlformats.org/officeDocument/2006/relationships/hyperlink" Target="https://www.sciencedirect.com/science/article/pii/S0377221721005440" TargetMode="External"/><Relationship Id="rId2" Type="http://schemas.openxmlformats.org/officeDocument/2006/relationships/hyperlink" Target="https://www.sciencedirect.com/science/article/pii/S0164121217302170" TargetMode="External"/><Relationship Id="rId16" Type="http://schemas.openxmlformats.org/officeDocument/2006/relationships/hyperlink" Target="https://doi.org/10.1016/j.ejor.2021.06.028" TargetMode="External"/><Relationship Id="rId20" Type="http://schemas.openxmlformats.org/officeDocument/2006/relationships/hyperlink" Target="https://doi.org/10.1016/j.jss.2022.111419" TargetMode="External"/><Relationship Id="rId1" Type="http://schemas.openxmlformats.org/officeDocument/2006/relationships/hyperlink" Target="https://doi.org/10.1016/j.jss.2017.09.031" TargetMode="External"/><Relationship Id="rId6" Type="http://schemas.openxmlformats.org/officeDocument/2006/relationships/hyperlink" Target="https://doi.org/10.1016/j.jksuci.2018.09.005" TargetMode="External"/><Relationship Id="rId11" Type="http://schemas.openxmlformats.org/officeDocument/2006/relationships/hyperlink" Target="https://www.sciencedirect.com/science/article/pii/S0164121220300212" TargetMode="External"/><Relationship Id="rId5" Type="http://schemas.openxmlformats.org/officeDocument/2006/relationships/hyperlink" Target="https://www.sciencedirect.com/science/article/pii/S1319157818303616" TargetMode="External"/><Relationship Id="rId15" Type="http://schemas.openxmlformats.org/officeDocument/2006/relationships/hyperlink" Target="https://www.sciencedirect.com/science/article/pii/S0164121220301540" TargetMode="External"/><Relationship Id="rId23" Type="http://schemas.openxmlformats.org/officeDocument/2006/relationships/table" Target="../tables/table1.xml"/><Relationship Id="rId10" Type="http://schemas.openxmlformats.org/officeDocument/2006/relationships/hyperlink" Target="https://doi.org/10.1016/j.jss.2020.110539" TargetMode="External"/><Relationship Id="rId19" Type="http://schemas.openxmlformats.org/officeDocument/2006/relationships/hyperlink" Target="https://www.sciencedirect.com/science/article/pii/S0164121223001978" TargetMode="External"/><Relationship Id="rId4" Type="http://schemas.openxmlformats.org/officeDocument/2006/relationships/hyperlink" Target="https://doi.org/10.1016/j.jss.2019.03.064" TargetMode="External"/><Relationship Id="rId9" Type="http://schemas.openxmlformats.org/officeDocument/2006/relationships/hyperlink" Target="https://www.sciencedirect.com/science/article/pii/S1319157821002147" TargetMode="External"/><Relationship Id="rId14" Type="http://schemas.openxmlformats.org/officeDocument/2006/relationships/hyperlink" Target="https://doi.org/10.1016/j.jss.2020.110712" TargetMode="External"/><Relationship Id="rId22" Type="http://schemas.openxmlformats.org/officeDocument/2006/relationships/hyperlink" Target="https://dl.acm.org/doi/abs/10.1145/2884781.2884874"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016/j.jksuci.2021.08.011" TargetMode="External"/><Relationship Id="rId13" Type="http://schemas.openxmlformats.org/officeDocument/2006/relationships/hyperlink" Target="https://www.sciencedirect.com/science/article/pii/S1383762125000153" TargetMode="External"/><Relationship Id="rId18" Type="http://schemas.openxmlformats.org/officeDocument/2006/relationships/hyperlink" Target="https://doi.org/10.1016/j.jss.2023.111802" TargetMode="External"/><Relationship Id="rId3" Type="http://schemas.openxmlformats.org/officeDocument/2006/relationships/hyperlink" Target="https://www.sciencedirect.com/science/article/pii/S016412121930072X" TargetMode="External"/><Relationship Id="rId21" Type="http://schemas.openxmlformats.org/officeDocument/2006/relationships/hyperlink" Target="https://www.sciencedirect.com/science/article/pii/S0164121222001285" TargetMode="External"/><Relationship Id="rId7" Type="http://schemas.openxmlformats.org/officeDocument/2006/relationships/hyperlink" Target="https://doi.org/10.1145/3019612.3019831" TargetMode="External"/><Relationship Id="rId12" Type="http://schemas.openxmlformats.org/officeDocument/2006/relationships/hyperlink" Target="https://doi.org/10.1016/j.sysarc.2025.103343" TargetMode="External"/><Relationship Id="rId17" Type="http://schemas.openxmlformats.org/officeDocument/2006/relationships/hyperlink" Target="https://www.sciencedirect.com/science/article/pii/S0377221721005440" TargetMode="External"/><Relationship Id="rId2" Type="http://schemas.openxmlformats.org/officeDocument/2006/relationships/hyperlink" Target="https://www.sciencedirect.com/science/article/pii/S0164121217302170" TargetMode="External"/><Relationship Id="rId16" Type="http://schemas.openxmlformats.org/officeDocument/2006/relationships/hyperlink" Target="https://doi.org/10.1016/j.ejor.2021.06.028" TargetMode="External"/><Relationship Id="rId20" Type="http://schemas.openxmlformats.org/officeDocument/2006/relationships/hyperlink" Target="https://doi.org/10.1016/j.jss.2022.111419" TargetMode="External"/><Relationship Id="rId1" Type="http://schemas.openxmlformats.org/officeDocument/2006/relationships/hyperlink" Target="https://doi.org/10.1016/j.jss.2017.09.031" TargetMode="External"/><Relationship Id="rId6" Type="http://schemas.openxmlformats.org/officeDocument/2006/relationships/hyperlink" Target="https://doi.org/10.1016/j.jksuci.2018.09.005" TargetMode="External"/><Relationship Id="rId11" Type="http://schemas.openxmlformats.org/officeDocument/2006/relationships/hyperlink" Target="https://www.sciencedirect.com/science/article/pii/S0164121220300212" TargetMode="External"/><Relationship Id="rId5" Type="http://schemas.openxmlformats.org/officeDocument/2006/relationships/hyperlink" Target="https://www.sciencedirect.com/science/article/pii/S1319157818303616" TargetMode="External"/><Relationship Id="rId15" Type="http://schemas.openxmlformats.org/officeDocument/2006/relationships/hyperlink" Target="https://www.sciencedirect.com/science/article/pii/S0164121220301540" TargetMode="External"/><Relationship Id="rId23" Type="http://schemas.openxmlformats.org/officeDocument/2006/relationships/drawing" Target="../drawings/drawing1.xml"/><Relationship Id="rId10" Type="http://schemas.openxmlformats.org/officeDocument/2006/relationships/hyperlink" Target="https://doi.org/10.1016/j.jss.2020.110539" TargetMode="External"/><Relationship Id="rId19" Type="http://schemas.openxmlformats.org/officeDocument/2006/relationships/hyperlink" Target="https://www.sciencedirect.com/science/article/pii/S0164121223001978" TargetMode="External"/><Relationship Id="rId4" Type="http://schemas.openxmlformats.org/officeDocument/2006/relationships/hyperlink" Target="https://doi.org/10.1016/j.jss.2019.03.064" TargetMode="External"/><Relationship Id="rId9" Type="http://schemas.openxmlformats.org/officeDocument/2006/relationships/hyperlink" Target="https://www.sciencedirect.com/science/article/pii/S1319157821002147" TargetMode="External"/><Relationship Id="rId14" Type="http://schemas.openxmlformats.org/officeDocument/2006/relationships/hyperlink" Target="https://doi.org/10.1016/j.jss.2020.110712" TargetMode="External"/><Relationship Id="rId22" Type="http://schemas.openxmlformats.org/officeDocument/2006/relationships/hyperlink" Target="https://dl.acm.org/doi/abs/10.1145/2884781.28848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1C968-CFFD-1A41-862E-46C430B19788}">
  <dimension ref="A1:AI126"/>
  <sheetViews>
    <sheetView topLeftCell="O30" zoomScale="85" zoomScaleNormal="85" workbookViewId="0">
      <selection activeCell="AD69" sqref="AD69"/>
    </sheetView>
  </sheetViews>
  <sheetFormatPr defaultColWidth="11.19921875" defaultRowHeight="15.6"/>
  <cols>
    <col min="7" max="7" width="7.8984375" customWidth="1"/>
  </cols>
  <sheetData>
    <row r="1" spans="1:35">
      <c r="A1" s="39" t="s">
        <v>0</v>
      </c>
      <c r="B1" s="39" t="s">
        <v>1</v>
      </c>
      <c r="C1" s="39" t="s">
        <v>2</v>
      </c>
      <c r="D1" s="39" t="s">
        <v>3</v>
      </c>
      <c r="E1" s="39" t="s">
        <v>4</v>
      </c>
      <c r="F1" s="39" t="s">
        <v>5</v>
      </c>
      <c r="G1" s="39" t="s">
        <v>6</v>
      </c>
      <c r="H1" s="39" t="s">
        <v>7</v>
      </c>
      <c r="I1" s="39" t="s">
        <v>8</v>
      </c>
      <c r="J1" s="39" t="s">
        <v>9</v>
      </c>
      <c r="K1" s="39" t="s">
        <v>10</v>
      </c>
      <c r="L1" s="39" t="s">
        <v>11</v>
      </c>
      <c r="M1" s="39" t="s">
        <v>12</v>
      </c>
      <c r="N1" s="39" t="s">
        <v>13</v>
      </c>
      <c r="O1" s="39" t="s">
        <v>14</v>
      </c>
      <c r="P1" s="39" t="s">
        <v>15</v>
      </c>
      <c r="Q1" s="39" t="s">
        <v>16</v>
      </c>
      <c r="R1" s="39" t="s">
        <v>17</v>
      </c>
      <c r="S1" s="39" t="s">
        <v>18</v>
      </c>
      <c r="T1" s="39" t="s">
        <v>19</v>
      </c>
      <c r="U1" s="39" t="s">
        <v>20</v>
      </c>
      <c r="V1" s="39" t="s">
        <v>21</v>
      </c>
      <c r="W1" s="39" t="s">
        <v>22</v>
      </c>
      <c r="X1" s="39" t="s">
        <v>23</v>
      </c>
      <c r="Y1" s="39" t="s">
        <v>24</v>
      </c>
      <c r="Z1" s="39" t="s">
        <v>25</v>
      </c>
      <c r="AA1" s="39" t="s">
        <v>26</v>
      </c>
      <c r="AB1" s="39" t="s">
        <v>27</v>
      </c>
      <c r="AC1" s="39" t="s">
        <v>28</v>
      </c>
      <c r="AD1" s="39" t="s">
        <v>29</v>
      </c>
      <c r="AE1" s="39" t="s">
        <v>30</v>
      </c>
      <c r="AF1" s="39" t="s">
        <v>31</v>
      </c>
      <c r="AG1" s="39" t="s">
        <v>32</v>
      </c>
      <c r="AH1" s="39" t="s">
        <v>33</v>
      </c>
      <c r="AI1" s="42" t="s">
        <v>1398</v>
      </c>
    </row>
    <row r="2" spans="1:35">
      <c r="A2">
        <v>10048797</v>
      </c>
      <c r="B2" t="s">
        <v>34</v>
      </c>
      <c r="C2" t="s">
        <v>35</v>
      </c>
      <c r="D2" t="s">
        <v>36</v>
      </c>
      <c r="E2" t="s">
        <v>37</v>
      </c>
      <c r="F2">
        <v>2023</v>
      </c>
      <c r="I2" t="s">
        <v>38</v>
      </c>
      <c r="J2" t="s">
        <v>39</v>
      </c>
      <c r="K2" t="s">
        <v>40</v>
      </c>
      <c r="L2" t="s">
        <v>41</v>
      </c>
      <c r="N2" t="s">
        <v>42</v>
      </c>
      <c r="X2" t="s">
        <v>43</v>
      </c>
      <c r="Y2" t="s">
        <v>44</v>
      </c>
      <c r="Z2" t="s">
        <v>45</v>
      </c>
      <c r="AB2" t="s">
        <v>1383</v>
      </c>
      <c r="AD2" t="s">
        <v>47</v>
      </c>
      <c r="AH2">
        <v>0</v>
      </c>
    </row>
    <row r="3" spans="1:35">
      <c r="A3">
        <v>8377903</v>
      </c>
      <c r="B3" t="s">
        <v>34</v>
      </c>
      <c r="C3" t="s">
        <v>48</v>
      </c>
      <c r="D3" t="s">
        <v>49</v>
      </c>
      <c r="E3" t="s">
        <v>50</v>
      </c>
      <c r="F3">
        <v>2018</v>
      </c>
      <c r="G3">
        <v>2</v>
      </c>
      <c r="I3" t="s">
        <v>51</v>
      </c>
      <c r="J3" t="s">
        <v>52</v>
      </c>
      <c r="K3" t="s">
        <v>53</v>
      </c>
      <c r="L3" t="s">
        <v>54</v>
      </c>
      <c r="M3" t="s">
        <v>55</v>
      </c>
      <c r="N3" t="s">
        <v>56</v>
      </c>
      <c r="X3" t="s">
        <v>57</v>
      </c>
      <c r="Y3" t="s">
        <v>58</v>
      </c>
      <c r="Z3" t="s">
        <v>59</v>
      </c>
      <c r="AA3" t="s">
        <v>60</v>
      </c>
      <c r="AB3" t="s">
        <v>1371</v>
      </c>
      <c r="AC3" t="s">
        <v>62</v>
      </c>
      <c r="AD3" t="s">
        <v>63</v>
      </c>
      <c r="AE3" t="s">
        <v>64</v>
      </c>
      <c r="AF3" t="s">
        <v>65</v>
      </c>
      <c r="AG3" t="s">
        <v>66</v>
      </c>
      <c r="AH3">
        <v>0</v>
      </c>
    </row>
    <row r="4" spans="1:35">
      <c r="A4">
        <v>10197719</v>
      </c>
      <c r="B4" t="s">
        <v>34</v>
      </c>
      <c r="C4" t="s">
        <v>67</v>
      </c>
      <c r="D4" t="s">
        <v>68</v>
      </c>
      <c r="E4" t="s">
        <v>69</v>
      </c>
      <c r="F4">
        <v>2023</v>
      </c>
      <c r="I4" t="s">
        <v>70</v>
      </c>
      <c r="J4" t="s">
        <v>71</v>
      </c>
      <c r="K4" t="s">
        <v>72</v>
      </c>
      <c r="L4" t="s">
        <v>73</v>
      </c>
      <c r="M4" t="s">
        <v>74</v>
      </c>
      <c r="N4" t="s">
        <v>75</v>
      </c>
      <c r="X4" t="s">
        <v>76</v>
      </c>
      <c r="Y4" t="s">
        <v>77</v>
      </c>
      <c r="Z4" t="s">
        <v>78</v>
      </c>
      <c r="AF4" t="s">
        <v>79</v>
      </c>
      <c r="AG4" t="s">
        <v>80</v>
      </c>
      <c r="AH4">
        <v>0</v>
      </c>
    </row>
    <row r="5" spans="1:35">
      <c r="A5">
        <v>7515934</v>
      </c>
      <c r="B5" t="s">
        <v>34</v>
      </c>
      <c r="C5" t="s">
        <v>81</v>
      </c>
      <c r="D5" t="s">
        <v>82</v>
      </c>
      <c r="E5" t="s">
        <v>83</v>
      </c>
      <c r="F5">
        <v>2016</v>
      </c>
      <c r="I5" t="s">
        <v>84</v>
      </c>
      <c r="J5" t="s">
        <v>85</v>
      </c>
      <c r="K5" t="s">
        <v>86</v>
      </c>
      <c r="L5" t="s">
        <v>87</v>
      </c>
      <c r="N5" t="s">
        <v>75</v>
      </c>
      <c r="X5" t="s">
        <v>88</v>
      </c>
      <c r="Y5" t="s">
        <v>58</v>
      </c>
      <c r="Z5" t="s">
        <v>89</v>
      </c>
      <c r="AA5" t="s">
        <v>90</v>
      </c>
      <c r="AB5" t="s">
        <v>91</v>
      </c>
      <c r="AC5" t="s">
        <v>62</v>
      </c>
      <c r="AD5" t="s">
        <v>92</v>
      </c>
      <c r="AE5" t="s">
        <v>93</v>
      </c>
      <c r="AF5" t="s">
        <v>65</v>
      </c>
      <c r="AG5" t="s">
        <v>94</v>
      </c>
      <c r="AH5">
        <v>0</v>
      </c>
    </row>
    <row r="6" spans="1:35">
      <c r="A6">
        <v>6888744</v>
      </c>
      <c r="B6" t="s">
        <v>34</v>
      </c>
      <c r="C6" t="s">
        <v>95</v>
      </c>
      <c r="D6" t="s">
        <v>96</v>
      </c>
      <c r="E6" t="s">
        <v>97</v>
      </c>
      <c r="F6">
        <v>2014</v>
      </c>
      <c r="I6" t="s">
        <v>98</v>
      </c>
      <c r="J6" t="s">
        <v>99</v>
      </c>
      <c r="K6" t="s">
        <v>100</v>
      </c>
      <c r="L6" t="s">
        <v>101</v>
      </c>
      <c r="N6" t="s">
        <v>102</v>
      </c>
      <c r="X6" t="s">
        <v>103</v>
      </c>
      <c r="Y6" t="s">
        <v>58</v>
      </c>
      <c r="Z6" t="s">
        <v>104</v>
      </c>
      <c r="AA6" t="s">
        <v>1263</v>
      </c>
      <c r="AB6" t="s">
        <v>91</v>
      </c>
      <c r="AC6" t="s">
        <v>105</v>
      </c>
      <c r="AD6" t="s">
        <v>92</v>
      </c>
      <c r="AE6" t="s">
        <v>92</v>
      </c>
      <c r="AG6" t="s">
        <v>106</v>
      </c>
      <c r="AH6">
        <v>0</v>
      </c>
    </row>
    <row r="7" spans="1:35">
      <c r="A7">
        <v>7809434</v>
      </c>
      <c r="B7" t="s">
        <v>34</v>
      </c>
      <c r="C7" t="s">
        <v>95</v>
      </c>
      <c r="D7" t="s">
        <v>107</v>
      </c>
      <c r="E7" t="s">
        <v>108</v>
      </c>
      <c r="F7">
        <v>2016</v>
      </c>
      <c r="I7" t="s">
        <v>109</v>
      </c>
      <c r="J7" t="s">
        <v>110</v>
      </c>
      <c r="K7" t="s">
        <v>111</v>
      </c>
      <c r="L7" t="s">
        <v>112</v>
      </c>
      <c r="N7" t="s">
        <v>75</v>
      </c>
      <c r="X7" t="s">
        <v>113</v>
      </c>
      <c r="Y7" t="s">
        <v>58</v>
      </c>
      <c r="Z7" t="s">
        <v>89</v>
      </c>
      <c r="AA7" t="s">
        <v>114</v>
      </c>
      <c r="AB7" t="s">
        <v>1372</v>
      </c>
      <c r="AC7" t="s">
        <v>115</v>
      </c>
      <c r="AD7" t="s">
        <v>116</v>
      </c>
      <c r="AE7" t="s">
        <v>117</v>
      </c>
      <c r="AF7" t="s">
        <v>65</v>
      </c>
      <c r="AG7" t="s">
        <v>118</v>
      </c>
      <c r="AH7">
        <v>0.5</v>
      </c>
    </row>
    <row r="8" spans="1:35">
      <c r="A8">
        <v>6571611</v>
      </c>
      <c r="B8" t="s">
        <v>34</v>
      </c>
      <c r="C8" t="s">
        <v>119</v>
      </c>
      <c r="D8" t="s">
        <v>120</v>
      </c>
      <c r="E8" t="s">
        <v>121</v>
      </c>
      <c r="F8">
        <v>2013</v>
      </c>
      <c r="I8" t="s">
        <v>122</v>
      </c>
      <c r="J8" t="s">
        <v>123</v>
      </c>
      <c r="K8" t="s">
        <v>124</v>
      </c>
      <c r="L8" t="s">
        <v>125</v>
      </c>
      <c r="N8" t="s">
        <v>126</v>
      </c>
      <c r="X8" t="s">
        <v>127</v>
      </c>
      <c r="Y8" t="s">
        <v>58</v>
      </c>
      <c r="Z8" t="s">
        <v>128</v>
      </c>
      <c r="AA8" t="s">
        <v>129</v>
      </c>
      <c r="AB8" t="s">
        <v>130</v>
      </c>
      <c r="AC8" t="s">
        <v>131</v>
      </c>
      <c r="AG8" t="s">
        <v>1391</v>
      </c>
    </row>
    <row r="9" spans="1:35" ht="17.399999999999999">
      <c r="A9">
        <v>9440156</v>
      </c>
      <c r="B9" t="s">
        <v>34</v>
      </c>
      <c r="C9" t="s">
        <v>132</v>
      </c>
      <c r="D9" t="s">
        <v>133</v>
      </c>
      <c r="E9" t="s">
        <v>134</v>
      </c>
      <c r="F9">
        <v>2021</v>
      </c>
      <c r="I9" t="s">
        <v>135</v>
      </c>
      <c r="J9" t="s">
        <v>136</v>
      </c>
      <c r="K9" t="s">
        <v>137</v>
      </c>
      <c r="L9" t="s">
        <v>138</v>
      </c>
      <c r="N9" t="s">
        <v>139</v>
      </c>
      <c r="X9" t="s">
        <v>140</v>
      </c>
      <c r="Y9" t="s">
        <v>58</v>
      </c>
      <c r="Z9" t="s">
        <v>141</v>
      </c>
      <c r="AA9" t="s">
        <v>142</v>
      </c>
      <c r="AB9" t="s">
        <v>207</v>
      </c>
      <c r="AC9" t="s">
        <v>143</v>
      </c>
      <c r="AD9" t="s">
        <v>144</v>
      </c>
      <c r="AE9" t="s">
        <v>145</v>
      </c>
      <c r="AF9" t="s">
        <v>65</v>
      </c>
      <c r="AG9" t="s">
        <v>146</v>
      </c>
      <c r="AH9">
        <v>0.5</v>
      </c>
      <c r="AI9" s="36" t="s">
        <v>1373</v>
      </c>
    </row>
    <row r="10" spans="1:35">
      <c r="A10">
        <v>7273631</v>
      </c>
      <c r="B10" t="s">
        <v>34</v>
      </c>
      <c r="C10" t="s">
        <v>147</v>
      </c>
      <c r="D10" t="s">
        <v>148</v>
      </c>
      <c r="E10" t="s">
        <v>149</v>
      </c>
      <c r="F10">
        <v>2015</v>
      </c>
      <c r="G10">
        <v>2</v>
      </c>
      <c r="I10" t="s">
        <v>150</v>
      </c>
      <c r="J10" t="s">
        <v>151</v>
      </c>
      <c r="K10" t="s">
        <v>152</v>
      </c>
      <c r="L10" t="s">
        <v>153</v>
      </c>
      <c r="M10" t="s">
        <v>55</v>
      </c>
      <c r="N10" t="s">
        <v>56</v>
      </c>
      <c r="X10" t="s">
        <v>154</v>
      </c>
      <c r="Y10" t="s">
        <v>58</v>
      </c>
      <c r="Z10" t="s">
        <v>155</v>
      </c>
      <c r="AA10" t="s">
        <v>60</v>
      </c>
      <c r="AB10" t="s">
        <v>156</v>
      </c>
      <c r="AC10" t="s">
        <v>62</v>
      </c>
      <c r="AD10" t="s">
        <v>157</v>
      </c>
      <c r="AE10" t="s">
        <v>158</v>
      </c>
      <c r="AF10" t="s">
        <v>65</v>
      </c>
      <c r="AG10" t="s">
        <v>159</v>
      </c>
      <c r="AH10">
        <v>0.5</v>
      </c>
    </row>
    <row r="11" spans="1:35">
      <c r="A11">
        <v>8305939</v>
      </c>
      <c r="B11" t="s">
        <v>34</v>
      </c>
      <c r="C11" t="s">
        <v>160</v>
      </c>
      <c r="D11" t="s">
        <v>161</v>
      </c>
      <c r="E11" t="s">
        <v>162</v>
      </c>
      <c r="F11">
        <v>2017</v>
      </c>
      <c r="I11" t="s">
        <v>163</v>
      </c>
      <c r="J11" t="s">
        <v>164</v>
      </c>
      <c r="K11" t="s">
        <v>165</v>
      </c>
      <c r="L11" t="s">
        <v>166</v>
      </c>
      <c r="N11" t="s">
        <v>167</v>
      </c>
      <c r="X11" t="s">
        <v>168</v>
      </c>
      <c r="Y11" t="s">
        <v>58</v>
      </c>
      <c r="Z11" t="s">
        <v>169</v>
      </c>
      <c r="AA11" t="s">
        <v>1356</v>
      </c>
      <c r="AB11" t="s">
        <v>91</v>
      </c>
      <c r="AC11" t="s">
        <v>62</v>
      </c>
      <c r="AD11" t="s">
        <v>170</v>
      </c>
      <c r="AE11" t="s">
        <v>171</v>
      </c>
      <c r="AF11" t="s">
        <v>172</v>
      </c>
      <c r="AG11" t="s">
        <v>66</v>
      </c>
      <c r="AH11">
        <v>0</v>
      </c>
    </row>
    <row r="12" spans="1:35">
      <c r="A12">
        <v>9796413</v>
      </c>
      <c r="B12" t="s">
        <v>34</v>
      </c>
      <c r="C12" t="s">
        <v>173</v>
      </c>
      <c r="D12" t="s">
        <v>174</v>
      </c>
      <c r="E12" t="s">
        <v>175</v>
      </c>
      <c r="F12">
        <v>2022</v>
      </c>
      <c r="I12" t="s">
        <v>176</v>
      </c>
      <c r="J12" t="s">
        <v>177</v>
      </c>
      <c r="K12" t="s">
        <v>178</v>
      </c>
      <c r="L12" t="s">
        <v>179</v>
      </c>
      <c r="N12" t="s">
        <v>75</v>
      </c>
      <c r="X12" t="s">
        <v>180</v>
      </c>
      <c r="Y12" t="s">
        <v>58</v>
      </c>
      <c r="Z12" t="s">
        <v>181</v>
      </c>
      <c r="AA12" t="s">
        <v>1366</v>
      </c>
      <c r="AB12" t="s">
        <v>130</v>
      </c>
      <c r="AC12" t="s">
        <v>131</v>
      </c>
      <c r="AD12" t="s">
        <v>182</v>
      </c>
      <c r="AE12" t="s">
        <v>183</v>
      </c>
      <c r="AF12" t="s">
        <v>184</v>
      </c>
      <c r="AG12" t="s">
        <v>185</v>
      </c>
      <c r="AH12">
        <v>0.5</v>
      </c>
    </row>
    <row r="13" spans="1:35">
      <c r="A13">
        <v>8452804</v>
      </c>
      <c r="B13" t="s">
        <v>34</v>
      </c>
      <c r="C13" t="s">
        <v>186</v>
      </c>
      <c r="D13" t="s">
        <v>187</v>
      </c>
      <c r="E13" t="s">
        <v>188</v>
      </c>
      <c r="F13">
        <v>2018</v>
      </c>
      <c r="I13" t="s">
        <v>189</v>
      </c>
      <c r="J13" t="s">
        <v>190</v>
      </c>
      <c r="K13" t="s">
        <v>191</v>
      </c>
      <c r="N13" t="s">
        <v>75</v>
      </c>
      <c r="X13" t="s">
        <v>192</v>
      </c>
      <c r="Y13" t="s">
        <v>58</v>
      </c>
      <c r="Z13" t="s">
        <v>193</v>
      </c>
      <c r="AA13" t="s">
        <v>1368</v>
      </c>
      <c r="AB13" t="s">
        <v>1383</v>
      </c>
      <c r="AC13" t="s">
        <v>194</v>
      </c>
      <c r="AD13" t="s">
        <v>195</v>
      </c>
      <c r="AE13" t="s">
        <v>196</v>
      </c>
      <c r="AF13" t="s">
        <v>184</v>
      </c>
      <c r="AG13" t="s">
        <v>197</v>
      </c>
      <c r="AH13">
        <v>0</v>
      </c>
    </row>
    <row r="14" spans="1:35">
      <c r="A14">
        <v>7273420</v>
      </c>
      <c r="B14" t="s">
        <v>34</v>
      </c>
      <c r="C14" t="s">
        <v>198</v>
      </c>
      <c r="D14" t="s">
        <v>148</v>
      </c>
      <c r="E14" t="s">
        <v>199</v>
      </c>
      <c r="F14">
        <v>2015</v>
      </c>
      <c r="G14">
        <v>3</v>
      </c>
      <c r="I14" t="s">
        <v>200</v>
      </c>
      <c r="J14" t="s">
        <v>201</v>
      </c>
      <c r="K14" t="s">
        <v>202</v>
      </c>
      <c r="L14" t="s">
        <v>203</v>
      </c>
      <c r="M14" t="s">
        <v>55</v>
      </c>
      <c r="N14" t="s">
        <v>56</v>
      </c>
      <c r="X14" t="s">
        <v>204</v>
      </c>
      <c r="Y14" t="s">
        <v>58</v>
      </c>
      <c r="Z14" t="s">
        <v>205</v>
      </c>
      <c r="AA14" t="s">
        <v>206</v>
      </c>
      <c r="AB14" t="s">
        <v>207</v>
      </c>
      <c r="AC14" t="s">
        <v>208</v>
      </c>
      <c r="AD14" t="s">
        <v>209</v>
      </c>
      <c r="AE14" t="s">
        <v>210</v>
      </c>
      <c r="AF14" t="s">
        <v>65</v>
      </c>
      <c r="AG14" t="s">
        <v>94</v>
      </c>
      <c r="AH14">
        <v>0</v>
      </c>
    </row>
    <row r="15" spans="1:35">
      <c r="A15">
        <v>9787970</v>
      </c>
      <c r="B15" t="s">
        <v>34</v>
      </c>
      <c r="C15" t="s">
        <v>211</v>
      </c>
      <c r="D15" t="s">
        <v>212</v>
      </c>
      <c r="E15" t="s">
        <v>213</v>
      </c>
      <c r="F15">
        <v>2022</v>
      </c>
      <c r="I15" t="s">
        <v>214</v>
      </c>
      <c r="J15" t="s">
        <v>215</v>
      </c>
      <c r="K15" t="s">
        <v>216</v>
      </c>
      <c r="L15" t="s">
        <v>217</v>
      </c>
      <c r="M15" t="s">
        <v>218</v>
      </c>
      <c r="N15" t="s">
        <v>139</v>
      </c>
      <c r="X15" t="s">
        <v>219</v>
      </c>
      <c r="Y15" t="s">
        <v>58</v>
      </c>
      <c r="Z15" t="s">
        <v>220</v>
      </c>
      <c r="AA15" t="s">
        <v>142</v>
      </c>
      <c r="AB15" t="s">
        <v>207</v>
      </c>
      <c r="AC15" t="s">
        <v>208</v>
      </c>
      <c r="AD15" t="s">
        <v>221</v>
      </c>
      <c r="AE15" t="s">
        <v>222</v>
      </c>
      <c r="AG15" t="s">
        <v>223</v>
      </c>
      <c r="AH15">
        <v>0.5</v>
      </c>
    </row>
    <row r="16" spans="1:35">
      <c r="A16">
        <v>8855691</v>
      </c>
      <c r="B16" t="s">
        <v>34</v>
      </c>
      <c r="C16" t="s">
        <v>224</v>
      </c>
      <c r="D16" t="s">
        <v>225</v>
      </c>
      <c r="E16" t="s">
        <v>226</v>
      </c>
      <c r="F16">
        <v>2019</v>
      </c>
      <c r="I16" t="s">
        <v>227</v>
      </c>
      <c r="J16" t="s">
        <v>228</v>
      </c>
      <c r="K16" t="s">
        <v>229</v>
      </c>
      <c r="L16" t="s">
        <v>230</v>
      </c>
      <c r="N16" t="s">
        <v>231</v>
      </c>
      <c r="X16" t="s">
        <v>232</v>
      </c>
      <c r="Y16" t="s">
        <v>58</v>
      </c>
      <c r="Z16" t="s">
        <v>233</v>
      </c>
      <c r="AA16" t="s">
        <v>90</v>
      </c>
      <c r="AB16" t="s">
        <v>1383</v>
      </c>
      <c r="AC16" t="s">
        <v>105</v>
      </c>
      <c r="AD16" t="s">
        <v>234</v>
      </c>
      <c r="AE16" t="s">
        <v>235</v>
      </c>
      <c r="AG16" t="s">
        <v>236</v>
      </c>
      <c r="AH16">
        <v>0.5</v>
      </c>
    </row>
    <row r="17" spans="1:34">
      <c r="A17">
        <v>8029584</v>
      </c>
      <c r="B17" t="s">
        <v>34</v>
      </c>
      <c r="C17" t="s">
        <v>237</v>
      </c>
      <c r="D17" t="s">
        <v>238</v>
      </c>
      <c r="E17" t="s">
        <v>239</v>
      </c>
      <c r="F17">
        <v>2017</v>
      </c>
      <c r="G17">
        <v>1</v>
      </c>
      <c r="I17" t="s">
        <v>240</v>
      </c>
      <c r="J17" t="s">
        <v>241</v>
      </c>
      <c r="K17" t="s">
        <v>242</v>
      </c>
      <c r="L17" t="s">
        <v>243</v>
      </c>
      <c r="M17" t="s">
        <v>55</v>
      </c>
      <c r="N17" t="s">
        <v>56</v>
      </c>
      <c r="X17" t="s">
        <v>244</v>
      </c>
      <c r="Y17" t="s">
        <v>58</v>
      </c>
      <c r="Z17" t="s">
        <v>169</v>
      </c>
      <c r="AA17" t="s">
        <v>1357</v>
      </c>
      <c r="AB17" t="s">
        <v>91</v>
      </c>
      <c r="AD17" t="s">
        <v>245</v>
      </c>
      <c r="AE17" t="s">
        <v>246</v>
      </c>
      <c r="AF17" t="s">
        <v>247</v>
      </c>
      <c r="AG17" t="s">
        <v>248</v>
      </c>
      <c r="AH17">
        <v>1</v>
      </c>
    </row>
    <row r="18" spans="1:34">
      <c r="A18">
        <v>7838169</v>
      </c>
      <c r="B18" t="s">
        <v>34</v>
      </c>
      <c r="C18" t="s">
        <v>249</v>
      </c>
      <c r="D18" t="s">
        <v>250</v>
      </c>
      <c r="E18" t="s">
        <v>251</v>
      </c>
      <c r="F18">
        <v>2016</v>
      </c>
      <c r="I18" t="s">
        <v>252</v>
      </c>
      <c r="J18" t="s">
        <v>253</v>
      </c>
      <c r="K18" t="s">
        <v>254</v>
      </c>
      <c r="L18" t="s">
        <v>255</v>
      </c>
      <c r="N18" t="s">
        <v>167</v>
      </c>
      <c r="X18" t="s">
        <v>256</v>
      </c>
      <c r="Y18" t="s">
        <v>58</v>
      </c>
      <c r="Z18" t="s">
        <v>257</v>
      </c>
      <c r="AA18" t="s">
        <v>1358</v>
      </c>
      <c r="AB18" t="s">
        <v>207</v>
      </c>
      <c r="AC18" t="s">
        <v>258</v>
      </c>
      <c r="AD18" t="s">
        <v>259</v>
      </c>
      <c r="AE18" t="s">
        <v>260</v>
      </c>
      <c r="AF18" t="s">
        <v>65</v>
      </c>
      <c r="AG18" t="s">
        <v>66</v>
      </c>
      <c r="AH18">
        <v>0.5</v>
      </c>
    </row>
    <row r="19" spans="1:34">
      <c r="A19">
        <v>6569743</v>
      </c>
      <c r="B19" t="s">
        <v>34</v>
      </c>
      <c r="C19" t="s">
        <v>261</v>
      </c>
      <c r="D19" t="s">
        <v>262</v>
      </c>
      <c r="E19" t="s">
        <v>263</v>
      </c>
      <c r="F19">
        <v>2013</v>
      </c>
      <c r="I19" t="s">
        <v>264</v>
      </c>
      <c r="J19" t="s">
        <v>265</v>
      </c>
      <c r="K19" t="s">
        <v>266</v>
      </c>
      <c r="L19" t="s">
        <v>267</v>
      </c>
      <c r="M19" t="s">
        <v>218</v>
      </c>
      <c r="N19" t="s">
        <v>126</v>
      </c>
      <c r="X19" t="s">
        <v>268</v>
      </c>
      <c r="Y19" t="s">
        <v>58</v>
      </c>
      <c r="Z19" t="s">
        <v>269</v>
      </c>
      <c r="AA19" t="s">
        <v>270</v>
      </c>
      <c r="AB19" t="s">
        <v>271</v>
      </c>
      <c r="AC19" t="s">
        <v>194</v>
      </c>
      <c r="AD19" t="s">
        <v>272</v>
      </c>
      <c r="AE19" t="s">
        <v>273</v>
      </c>
      <c r="AF19" t="s">
        <v>65</v>
      </c>
      <c r="AG19" t="s">
        <v>66</v>
      </c>
      <c r="AH19">
        <v>0.5</v>
      </c>
    </row>
    <row r="20" spans="1:34">
      <c r="A20">
        <v>8854718</v>
      </c>
      <c r="B20" t="s">
        <v>34</v>
      </c>
      <c r="C20" t="s">
        <v>274</v>
      </c>
      <c r="D20" t="s">
        <v>275</v>
      </c>
      <c r="E20" t="s">
        <v>276</v>
      </c>
      <c r="F20">
        <v>2019</v>
      </c>
      <c r="I20" t="s">
        <v>277</v>
      </c>
      <c r="J20" t="s">
        <v>278</v>
      </c>
      <c r="K20" t="s">
        <v>279</v>
      </c>
      <c r="L20" t="s">
        <v>280</v>
      </c>
      <c r="N20" t="s">
        <v>56</v>
      </c>
      <c r="X20" t="s">
        <v>281</v>
      </c>
      <c r="Y20" t="s">
        <v>58</v>
      </c>
      <c r="Z20" t="s">
        <v>233</v>
      </c>
      <c r="AA20" t="s">
        <v>90</v>
      </c>
      <c r="AB20" t="s">
        <v>91</v>
      </c>
      <c r="AC20" t="s">
        <v>194</v>
      </c>
      <c r="AD20" t="s">
        <v>282</v>
      </c>
      <c r="AE20" t="s">
        <v>283</v>
      </c>
      <c r="AF20" t="s">
        <v>65</v>
      </c>
      <c r="AG20" t="s">
        <v>66</v>
      </c>
      <c r="AH20">
        <v>0.5</v>
      </c>
    </row>
    <row r="21" spans="1:34">
      <c r="A21">
        <v>7272924</v>
      </c>
      <c r="B21" t="s">
        <v>34</v>
      </c>
      <c r="C21" t="s">
        <v>284</v>
      </c>
      <c r="D21" t="s">
        <v>285</v>
      </c>
      <c r="E21" t="s">
        <v>286</v>
      </c>
      <c r="F21">
        <v>2015</v>
      </c>
      <c r="I21" t="s">
        <v>287</v>
      </c>
      <c r="J21" t="s">
        <v>288</v>
      </c>
      <c r="K21" t="s">
        <v>289</v>
      </c>
      <c r="L21" t="s">
        <v>290</v>
      </c>
      <c r="N21" t="s">
        <v>231</v>
      </c>
      <c r="X21" t="s">
        <v>291</v>
      </c>
      <c r="Y21" t="s">
        <v>58</v>
      </c>
      <c r="Z21" t="s">
        <v>205</v>
      </c>
      <c r="AA21" t="s">
        <v>1359</v>
      </c>
      <c r="AB21" t="s">
        <v>91</v>
      </c>
      <c r="AC21" t="s">
        <v>258</v>
      </c>
      <c r="AD21" t="s">
        <v>293</v>
      </c>
      <c r="AE21" t="s">
        <v>294</v>
      </c>
      <c r="AG21" t="s">
        <v>295</v>
      </c>
      <c r="AH21">
        <v>0.5</v>
      </c>
    </row>
    <row r="22" spans="1:34">
      <c r="A22">
        <v>10196878</v>
      </c>
      <c r="B22" t="s">
        <v>34</v>
      </c>
      <c r="C22" t="s">
        <v>296</v>
      </c>
      <c r="D22" t="s">
        <v>297</v>
      </c>
      <c r="E22" t="s">
        <v>298</v>
      </c>
      <c r="F22">
        <v>2023</v>
      </c>
      <c r="I22" t="s">
        <v>299</v>
      </c>
      <c r="J22" t="s">
        <v>300</v>
      </c>
      <c r="K22" t="s">
        <v>301</v>
      </c>
      <c r="L22" t="s">
        <v>302</v>
      </c>
      <c r="M22" t="s">
        <v>55</v>
      </c>
      <c r="N22" t="s">
        <v>102</v>
      </c>
      <c r="X22" t="s">
        <v>303</v>
      </c>
      <c r="Y22" t="s">
        <v>58</v>
      </c>
      <c r="Z22" t="s">
        <v>304</v>
      </c>
      <c r="AA22" t="s">
        <v>60</v>
      </c>
      <c r="AB22" t="s">
        <v>305</v>
      </c>
      <c r="AC22" t="s">
        <v>258</v>
      </c>
      <c r="AD22" t="s">
        <v>306</v>
      </c>
      <c r="AE22" t="s">
        <v>307</v>
      </c>
      <c r="AG22" t="s">
        <v>308</v>
      </c>
      <c r="AH22">
        <v>0.5</v>
      </c>
    </row>
    <row r="23" spans="1:34">
      <c r="A23">
        <v>7589817</v>
      </c>
      <c r="B23" t="s">
        <v>34</v>
      </c>
      <c r="C23" t="s">
        <v>309</v>
      </c>
      <c r="D23" t="s">
        <v>310</v>
      </c>
      <c r="E23" t="s">
        <v>311</v>
      </c>
      <c r="F23">
        <v>2016</v>
      </c>
      <c r="I23" t="s">
        <v>277</v>
      </c>
      <c r="J23" t="s">
        <v>312</v>
      </c>
      <c r="K23" t="s">
        <v>313</v>
      </c>
      <c r="L23" t="s">
        <v>314</v>
      </c>
      <c r="N23" t="s">
        <v>231</v>
      </c>
      <c r="X23" t="s">
        <v>315</v>
      </c>
      <c r="Y23" t="s">
        <v>58</v>
      </c>
      <c r="Z23" t="s">
        <v>257</v>
      </c>
      <c r="AA23" t="s">
        <v>1359</v>
      </c>
      <c r="AB23" t="s">
        <v>91</v>
      </c>
      <c r="AC23" t="s">
        <v>62</v>
      </c>
      <c r="AD23" t="s">
        <v>316</v>
      </c>
      <c r="AE23" t="s">
        <v>317</v>
      </c>
      <c r="AF23" t="s">
        <v>318</v>
      </c>
      <c r="AG23" s="40" t="s">
        <v>319</v>
      </c>
      <c r="AH23">
        <v>0.5</v>
      </c>
    </row>
    <row r="24" spans="1:34">
      <c r="A24">
        <v>7381799</v>
      </c>
      <c r="B24" t="s">
        <v>34</v>
      </c>
      <c r="C24" t="s">
        <v>320</v>
      </c>
      <c r="D24" t="s">
        <v>321</v>
      </c>
      <c r="E24" t="s">
        <v>322</v>
      </c>
      <c r="F24">
        <v>2015</v>
      </c>
      <c r="I24" t="s">
        <v>323</v>
      </c>
      <c r="J24" t="s">
        <v>324</v>
      </c>
      <c r="K24" t="s">
        <v>325</v>
      </c>
      <c r="L24" t="s">
        <v>326</v>
      </c>
      <c r="N24" t="s">
        <v>327</v>
      </c>
      <c r="X24" t="s">
        <v>328</v>
      </c>
      <c r="Y24" t="s">
        <v>58</v>
      </c>
      <c r="Z24" t="s">
        <v>205</v>
      </c>
      <c r="AA24" t="s">
        <v>114</v>
      </c>
      <c r="AB24" t="s">
        <v>91</v>
      </c>
      <c r="AC24" t="s">
        <v>62</v>
      </c>
      <c r="AD24" t="s">
        <v>329</v>
      </c>
      <c r="AE24" t="s">
        <v>330</v>
      </c>
      <c r="AG24" t="s">
        <v>331</v>
      </c>
      <c r="AH24">
        <v>0.5</v>
      </c>
    </row>
    <row r="25" spans="1:34">
      <c r="A25">
        <v>10621714</v>
      </c>
      <c r="B25" t="s">
        <v>34</v>
      </c>
      <c r="C25" t="s">
        <v>332</v>
      </c>
      <c r="D25" t="s">
        <v>333</v>
      </c>
      <c r="E25" t="s">
        <v>334</v>
      </c>
      <c r="F25">
        <v>2024</v>
      </c>
      <c r="I25" t="s">
        <v>335</v>
      </c>
      <c r="J25" t="s">
        <v>336</v>
      </c>
      <c r="K25" t="s">
        <v>337</v>
      </c>
      <c r="L25" t="s">
        <v>338</v>
      </c>
      <c r="N25" t="s">
        <v>126</v>
      </c>
      <c r="X25" t="s">
        <v>339</v>
      </c>
      <c r="Y25" t="s">
        <v>58</v>
      </c>
      <c r="Z25" t="s">
        <v>340</v>
      </c>
      <c r="AA25" t="s">
        <v>114</v>
      </c>
      <c r="AB25" t="s">
        <v>271</v>
      </c>
      <c r="AC25" t="s">
        <v>341</v>
      </c>
      <c r="AD25" t="s">
        <v>342</v>
      </c>
      <c r="AE25" t="s">
        <v>343</v>
      </c>
      <c r="AF25" t="s">
        <v>65</v>
      </c>
      <c r="AG25" t="s">
        <v>344</v>
      </c>
      <c r="AH25">
        <v>0.5</v>
      </c>
    </row>
    <row r="26" spans="1:34">
      <c r="A26">
        <v>8530033</v>
      </c>
      <c r="B26" t="s">
        <v>34</v>
      </c>
      <c r="C26" t="s">
        <v>345</v>
      </c>
      <c r="D26" t="s">
        <v>346</v>
      </c>
      <c r="E26" t="s">
        <v>347</v>
      </c>
      <c r="F26">
        <v>2018</v>
      </c>
      <c r="I26" t="s">
        <v>348</v>
      </c>
      <c r="J26" t="s">
        <v>349</v>
      </c>
      <c r="K26" t="s">
        <v>350</v>
      </c>
      <c r="L26" t="s">
        <v>351</v>
      </c>
      <c r="M26" t="s">
        <v>352</v>
      </c>
      <c r="N26" t="s">
        <v>353</v>
      </c>
      <c r="X26" t="s">
        <v>354</v>
      </c>
      <c r="Y26" t="s">
        <v>58</v>
      </c>
      <c r="Z26" t="s">
        <v>355</v>
      </c>
      <c r="AA26" t="s">
        <v>356</v>
      </c>
      <c r="AB26" t="s">
        <v>1385</v>
      </c>
      <c r="AC26" t="s">
        <v>357</v>
      </c>
      <c r="AD26" t="s">
        <v>358</v>
      </c>
      <c r="AE26" t="s">
        <v>359</v>
      </c>
      <c r="AF26" t="s">
        <v>360</v>
      </c>
      <c r="AG26" t="s">
        <v>361</v>
      </c>
      <c r="AH26">
        <v>0.5</v>
      </c>
    </row>
    <row r="27" spans="1:34">
      <c r="A27">
        <v>9825820</v>
      </c>
      <c r="B27" t="s">
        <v>34</v>
      </c>
      <c r="C27" t="s">
        <v>362</v>
      </c>
      <c r="D27" t="s">
        <v>363</v>
      </c>
      <c r="E27" t="s">
        <v>364</v>
      </c>
      <c r="F27">
        <v>2022</v>
      </c>
      <c r="I27" t="s">
        <v>365</v>
      </c>
      <c r="J27" t="s">
        <v>366</v>
      </c>
      <c r="K27" t="s">
        <v>367</v>
      </c>
      <c r="L27" t="s">
        <v>368</v>
      </c>
      <c r="M27" t="s">
        <v>369</v>
      </c>
      <c r="N27" t="s">
        <v>126</v>
      </c>
      <c r="X27" t="s">
        <v>370</v>
      </c>
      <c r="Y27" t="s">
        <v>58</v>
      </c>
      <c r="Z27" t="s">
        <v>220</v>
      </c>
      <c r="AA27" t="s">
        <v>114</v>
      </c>
      <c r="AB27" t="s">
        <v>371</v>
      </c>
      <c r="AC27" t="s">
        <v>208</v>
      </c>
      <c r="AD27" t="s">
        <v>372</v>
      </c>
      <c r="AE27" t="s">
        <v>373</v>
      </c>
      <c r="AF27" t="s">
        <v>65</v>
      </c>
      <c r="AG27" t="s">
        <v>374</v>
      </c>
      <c r="AH27">
        <v>0.5</v>
      </c>
    </row>
    <row r="28" spans="1:34">
      <c r="A28">
        <v>7272927</v>
      </c>
      <c r="B28" t="s">
        <v>34</v>
      </c>
      <c r="C28" t="s">
        <v>375</v>
      </c>
      <c r="D28" t="s">
        <v>285</v>
      </c>
      <c r="E28" t="s">
        <v>376</v>
      </c>
      <c r="F28">
        <v>2015</v>
      </c>
      <c r="I28" t="s">
        <v>377</v>
      </c>
      <c r="J28" t="s">
        <v>378</v>
      </c>
      <c r="K28" t="s">
        <v>379</v>
      </c>
      <c r="L28" t="s">
        <v>380</v>
      </c>
      <c r="N28" t="s">
        <v>231</v>
      </c>
      <c r="X28" t="s">
        <v>381</v>
      </c>
      <c r="Y28" t="s">
        <v>58</v>
      </c>
      <c r="Z28" t="s">
        <v>382</v>
      </c>
      <c r="AA28" t="s">
        <v>114</v>
      </c>
      <c r="AB28" t="s">
        <v>383</v>
      </c>
      <c r="AC28" t="s">
        <v>384</v>
      </c>
      <c r="AE28" t="s">
        <v>385</v>
      </c>
      <c r="AG28" t="s">
        <v>66</v>
      </c>
      <c r="AH28">
        <v>0</v>
      </c>
    </row>
    <row r="29" spans="1:34">
      <c r="A29">
        <v>8539203</v>
      </c>
      <c r="B29" t="s">
        <v>34</v>
      </c>
      <c r="C29" t="s">
        <v>386</v>
      </c>
      <c r="D29" t="s">
        <v>387</v>
      </c>
      <c r="E29" t="s">
        <v>388</v>
      </c>
      <c r="F29">
        <v>2018</v>
      </c>
      <c r="I29" t="s">
        <v>389</v>
      </c>
      <c r="J29" t="s">
        <v>390</v>
      </c>
      <c r="K29" t="s">
        <v>391</v>
      </c>
      <c r="L29" t="s">
        <v>392</v>
      </c>
      <c r="N29" t="s">
        <v>393</v>
      </c>
      <c r="X29" t="s">
        <v>394</v>
      </c>
      <c r="Y29" t="s">
        <v>58</v>
      </c>
      <c r="Z29" t="s">
        <v>355</v>
      </c>
      <c r="AA29" t="s">
        <v>1360</v>
      </c>
      <c r="AB29" t="s">
        <v>1371</v>
      </c>
      <c r="AC29" t="s">
        <v>384</v>
      </c>
      <c r="AD29" t="s">
        <v>396</v>
      </c>
      <c r="AE29" t="s">
        <v>397</v>
      </c>
      <c r="AF29" t="s">
        <v>184</v>
      </c>
      <c r="AG29" t="s">
        <v>398</v>
      </c>
      <c r="AH29">
        <v>0.5</v>
      </c>
    </row>
    <row r="30" spans="1:34">
      <c r="A30">
        <v>6928903</v>
      </c>
      <c r="B30" t="s">
        <v>34</v>
      </c>
      <c r="C30" t="s">
        <v>399</v>
      </c>
      <c r="D30" t="s">
        <v>400</v>
      </c>
      <c r="E30" t="s">
        <v>401</v>
      </c>
      <c r="F30">
        <v>2014</v>
      </c>
      <c r="I30" t="s">
        <v>402</v>
      </c>
      <c r="J30" t="s">
        <v>403</v>
      </c>
      <c r="K30" t="s">
        <v>404</v>
      </c>
      <c r="L30" t="s">
        <v>405</v>
      </c>
      <c r="N30" t="s">
        <v>102</v>
      </c>
      <c r="X30" t="s">
        <v>406</v>
      </c>
      <c r="Y30" t="s">
        <v>58</v>
      </c>
      <c r="Z30" t="s">
        <v>407</v>
      </c>
      <c r="AA30" t="s">
        <v>408</v>
      </c>
      <c r="AB30" t="s">
        <v>409</v>
      </c>
      <c r="AC30" t="s">
        <v>131</v>
      </c>
      <c r="AD30" t="s">
        <v>410</v>
      </c>
      <c r="AF30" t="s">
        <v>411</v>
      </c>
      <c r="AG30" t="s">
        <v>66</v>
      </c>
      <c r="AH30">
        <v>0.5</v>
      </c>
    </row>
    <row r="31" spans="1:34">
      <c r="A31">
        <v>7091286</v>
      </c>
      <c r="B31" t="s">
        <v>34</v>
      </c>
      <c r="C31" t="s">
        <v>412</v>
      </c>
      <c r="D31" t="s">
        <v>413</v>
      </c>
      <c r="E31" t="s">
        <v>414</v>
      </c>
      <c r="F31">
        <v>2014</v>
      </c>
      <c r="G31">
        <v>1</v>
      </c>
      <c r="I31" t="s">
        <v>415</v>
      </c>
      <c r="J31" t="s">
        <v>416</v>
      </c>
      <c r="K31" t="s">
        <v>417</v>
      </c>
      <c r="L31" t="s">
        <v>418</v>
      </c>
      <c r="M31" t="s">
        <v>419</v>
      </c>
      <c r="N31" t="s">
        <v>167</v>
      </c>
      <c r="X31" t="s">
        <v>420</v>
      </c>
      <c r="Y31" t="s">
        <v>58</v>
      </c>
      <c r="Z31" t="s">
        <v>407</v>
      </c>
      <c r="AA31" t="s">
        <v>114</v>
      </c>
      <c r="AB31" t="s">
        <v>271</v>
      </c>
      <c r="AC31" t="s">
        <v>208</v>
      </c>
      <c r="AD31" t="s">
        <v>421</v>
      </c>
      <c r="AE31" t="s">
        <v>422</v>
      </c>
      <c r="AF31" t="s">
        <v>423</v>
      </c>
      <c r="AG31" t="s">
        <v>424</v>
      </c>
      <c r="AH31">
        <v>0.5</v>
      </c>
    </row>
    <row r="32" spans="1:34">
      <c r="A32">
        <v>10336260</v>
      </c>
      <c r="B32" t="s">
        <v>34</v>
      </c>
      <c r="C32" t="s">
        <v>425</v>
      </c>
      <c r="D32" t="s">
        <v>426</v>
      </c>
      <c r="E32" t="s">
        <v>427</v>
      </c>
      <c r="F32">
        <v>2023</v>
      </c>
      <c r="I32" t="s">
        <v>428</v>
      </c>
      <c r="J32" t="s">
        <v>429</v>
      </c>
      <c r="K32" t="s">
        <v>430</v>
      </c>
      <c r="L32" t="s">
        <v>431</v>
      </c>
      <c r="M32" t="s">
        <v>352</v>
      </c>
      <c r="N32" t="s">
        <v>393</v>
      </c>
      <c r="X32" t="s">
        <v>432</v>
      </c>
      <c r="Y32" t="s">
        <v>58</v>
      </c>
      <c r="Z32" t="s">
        <v>304</v>
      </c>
      <c r="AA32" t="s">
        <v>114</v>
      </c>
      <c r="AB32" t="s">
        <v>271</v>
      </c>
      <c r="AC32" t="s">
        <v>433</v>
      </c>
      <c r="AD32" t="s">
        <v>434</v>
      </c>
      <c r="AE32" t="s">
        <v>435</v>
      </c>
      <c r="AF32" t="s">
        <v>436</v>
      </c>
      <c r="AG32" t="s">
        <v>437</v>
      </c>
      <c r="AH32">
        <v>1</v>
      </c>
    </row>
    <row r="33" spans="1:34">
      <c r="A33">
        <v>10304799</v>
      </c>
      <c r="B33" t="s">
        <v>34</v>
      </c>
      <c r="C33" t="s">
        <v>438</v>
      </c>
      <c r="D33" t="s">
        <v>439</v>
      </c>
      <c r="E33" t="s">
        <v>440</v>
      </c>
      <c r="F33">
        <v>2023</v>
      </c>
      <c r="I33" t="s">
        <v>441</v>
      </c>
      <c r="J33" t="s">
        <v>442</v>
      </c>
      <c r="K33" t="s">
        <v>443</v>
      </c>
      <c r="L33" t="s">
        <v>444</v>
      </c>
      <c r="N33" t="s">
        <v>393</v>
      </c>
      <c r="X33" t="s">
        <v>445</v>
      </c>
      <c r="Y33" t="s">
        <v>58</v>
      </c>
      <c r="Z33" t="s">
        <v>1018</v>
      </c>
    </row>
    <row r="34" spans="1:34">
      <c r="A34">
        <v>10011478</v>
      </c>
      <c r="B34" t="s">
        <v>34</v>
      </c>
      <c r="C34" t="s">
        <v>446</v>
      </c>
      <c r="D34" t="s">
        <v>447</v>
      </c>
      <c r="E34" t="s">
        <v>448</v>
      </c>
      <c r="F34">
        <v>2022</v>
      </c>
      <c r="I34" t="s">
        <v>449</v>
      </c>
      <c r="J34" t="s">
        <v>450</v>
      </c>
      <c r="K34" t="s">
        <v>451</v>
      </c>
      <c r="L34" t="s">
        <v>452</v>
      </c>
      <c r="N34" t="s">
        <v>231</v>
      </c>
      <c r="X34" t="s">
        <v>453</v>
      </c>
      <c r="Y34" t="s">
        <v>58</v>
      </c>
      <c r="Z34" t="s">
        <v>220</v>
      </c>
      <c r="AA34" t="s">
        <v>408</v>
      </c>
      <c r="AB34" t="s">
        <v>1383</v>
      </c>
      <c r="AC34" t="s">
        <v>115</v>
      </c>
      <c r="AD34" t="s">
        <v>455</v>
      </c>
      <c r="AE34" t="s">
        <v>456</v>
      </c>
      <c r="AF34" t="s">
        <v>457</v>
      </c>
      <c r="AG34" t="s">
        <v>424</v>
      </c>
      <c r="AH34">
        <v>0.5</v>
      </c>
    </row>
    <row r="35" spans="1:34">
      <c r="C35" t="s">
        <v>458</v>
      </c>
      <c r="D35" t="s">
        <v>459</v>
      </c>
      <c r="E35" t="s">
        <v>460</v>
      </c>
      <c r="F35">
        <v>2022</v>
      </c>
      <c r="J35" t="s">
        <v>461</v>
      </c>
      <c r="Y35" t="s">
        <v>58</v>
      </c>
      <c r="Z35" t="s">
        <v>462</v>
      </c>
      <c r="AA35" t="s">
        <v>142</v>
      </c>
      <c r="AB35" t="s">
        <v>463</v>
      </c>
      <c r="AD35" t="s">
        <v>464</v>
      </c>
      <c r="AE35" t="s">
        <v>465</v>
      </c>
      <c r="AF35" t="s">
        <v>466</v>
      </c>
      <c r="AG35" t="s">
        <v>467</v>
      </c>
      <c r="AH35">
        <v>1</v>
      </c>
    </row>
    <row r="36" spans="1:34">
      <c r="C36" t="s">
        <v>468</v>
      </c>
      <c r="D36" t="s">
        <v>469</v>
      </c>
      <c r="E36" t="s">
        <v>470</v>
      </c>
      <c r="F36">
        <v>2018</v>
      </c>
      <c r="J36" t="s">
        <v>471</v>
      </c>
      <c r="Y36" t="s">
        <v>58</v>
      </c>
      <c r="Z36" t="s">
        <v>472</v>
      </c>
      <c r="AA36" t="s">
        <v>1367</v>
      </c>
      <c r="AB36" t="s">
        <v>1371</v>
      </c>
      <c r="AD36" t="s">
        <v>473</v>
      </c>
      <c r="AE36" t="s">
        <v>474</v>
      </c>
      <c r="AF36" t="s">
        <v>475</v>
      </c>
      <c r="AG36" t="s">
        <v>476</v>
      </c>
      <c r="AH36">
        <v>0.5</v>
      </c>
    </row>
    <row r="37" spans="1:34">
      <c r="C37" t="s">
        <v>477</v>
      </c>
      <c r="D37" t="s">
        <v>478</v>
      </c>
      <c r="E37" t="s">
        <v>479</v>
      </c>
      <c r="F37">
        <v>2016</v>
      </c>
      <c r="J37" t="s">
        <v>480</v>
      </c>
      <c r="Y37" t="s">
        <v>58</v>
      </c>
      <c r="Z37" t="s">
        <v>481</v>
      </c>
      <c r="AA37" t="s">
        <v>408</v>
      </c>
      <c r="AB37" t="s">
        <v>787</v>
      </c>
      <c r="AC37" t="s">
        <v>115</v>
      </c>
      <c r="AD37" t="s">
        <v>482</v>
      </c>
      <c r="AE37" t="s">
        <v>483</v>
      </c>
      <c r="AF37" t="s">
        <v>484</v>
      </c>
      <c r="AG37" t="s">
        <v>485</v>
      </c>
      <c r="AH37">
        <v>1</v>
      </c>
    </row>
    <row r="38" spans="1:34">
      <c r="C38" t="s">
        <v>486</v>
      </c>
      <c r="D38" t="s">
        <v>487</v>
      </c>
      <c r="E38" t="s">
        <v>488</v>
      </c>
      <c r="F38">
        <v>2019</v>
      </c>
      <c r="J38" t="s">
        <v>489</v>
      </c>
      <c r="Y38" t="s">
        <v>58</v>
      </c>
      <c r="Z38" t="s">
        <v>490</v>
      </c>
      <c r="AA38" t="s">
        <v>1301</v>
      </c>
      <c r="AB38" t="s">
        <v>91</v>
      </c>
      <c r="AD38" t="s">
        <v>491</v>
      </c>
      <c r="AE38" t="s">
        <v>492</v>
      </c>
      <c r="AF38" t="s">
        <v>493</v>
      </c>
      <c r="AG38" t="s">
        <v>494</v>
      </c>
      <c r="AH38">
        <v>0</v>
      </c>
    </row>
    <row r="39" spans="1:34">
      <c r="C39" t="s">
        <v>495</v>
      </c>
      <c r="D39" t="s">
        <v>496</v>
      </c>
      <c r="E39" t="s">
        <v>497</v>
      </c>
      <c r="F39">
        <v>2016</v>
      </c>
      <c r="J39" t="s">
        <v>498</v>
      </c>
      <c r="Y39" t="s">
        <v>44</v>
      </c>
      <c r="Z39" t="s">
        <v>499</v>
      </c>
      <c r="AA39" t="s">
        <v>1367</v>
      </c>
      <c r="AB39" t="s">
        <v>1371</v>
      </c>
      <c r="AD39" t="s">
        <v>500</v>
      </c>
      <c r="AE39" t="s">
        <v>501</v>
      </c>
      <c r="AF39" t="s">
        <v>502</v>
      </c>
      <c r="AG39" t="s">
        <v>503</v>
      </c>
      <c r="AH39">
        <v>0</v>
      </c>
    </row>
    <row r="40" spans="1:34">
      <c r="C40" t="s">
        <v>504</v>
      </c>
      <c r="D40" t="s">
        <v>505</v>
      </c>
      <c r="E40" t="s">
        <v>506</v>
      </c>
      <c r="F40">
        <v>2018</v>
      </c>
      <c r="J40" t="s">
        <v>507</v>
      </c>
      <c r="Y40" t="s">
        <v>58</v>
      </c>
      <c r="Z40" t="s">
        <v>1390</v>
      </c>
      <c r="AA40" t="s">
        <v>129</v>
      </c>
      <c r="AB40" t="s">
        <v>91</v>
      </c>
      <c r="AD40" t="s">
        <v>508</v>
      </c>
      <c r="AE40" t="s">
        <v>509</v>
      </c>
      <c r="AF40" t="s">
        <v>510</v>
      </c>
      <c r="AG40" t="s">
        <v>511</v>
      </c>
      <c r="AH40">
        <v>1</v>
      </c>
    </row>
    <row r="41" spans="1:34">
      <c r="C41" t="s">
        <v>512</v>
      </c>
      <c r="D41" t="s">
        <v>513</v>
      </c>
      <c r="E41" t="s">
        <v>514</v>
      </c>
      <c r="F41">
        <v>2021</v>
      </c>
      <c r="J41" t="s">
        <v>515</v>
      </c>
      <c r="Y41" t="s">
        <v>58</v>
      </c>
      <c r="Z41" t="s">
        <v>516</v>
      </c>
      <c r="AA41" t="s">
        <v>408</v>
      </c>
      <c r="AB41" t="s">
        <v>91</v>
      </c>
      <c r="AD41" t="s">
        <v>517</v>
      </c>
      <c r="AE41" t="s">
        <v>518</v>
      </c>
      <c r="AF41" t="s">
        <v>519</v>
      </c>
      <c r="AG41" t="s">
        <v>520</v>
      </c>
      <c r="AH41">
        <v>1</v>
      </c>
    </row>
    <row r="42" spans="1:34">
      <c r="C42" t="s">
        <v>521</v>
      </c>
      <c r="D42" t="s">
        <v>522</v>
      </c>
      <c r="E42" t="s">
        <v>523</v>
      </c>
      <c r="F42">
        <v>2024</v>
      </c>
      <c r="J42" t="s">
        <v>524</v>
      </c>
      <c r="Y42" t="s">
        <v>58</v>
      </c>
      <c r="Z42" t="s">
        <v>525</v>
      </c>
      <c r="AA42" t="s">
        <v>526</v>
      </c>
      <c r="AB42" t="s">
        <v>1383</v>
      </c>
      <c r="AC42" t="s">
        <v>384</v>
      </c>
      <c r="AD42" t="s">
        <v>527</v>
      </c>
      <c r="AE42" t="s">
        <v>528</v>
      </c>
      <c r="AF42" t="s">
        <v>529</v>
      </c>
      <c r="AG42" t="s">
        <v>530</v>
      </c>
      <c r="AH42">
        <v>1</v>
      </c>
    </row>
    <row r="43" spans="1:34">
      <c r="C43" t="s">
        <v>531</v>
      </c>
      <c r="D43" t="s">
        <v>532</v>
      </c>
      <c r="E43" t="s">
        <v>533</v>
      </c>
      <c r="F43">
        <v>2023</v>
      </c>
      <c r="J43" t="s">
        <v>534</v>
      </c>
      <c r="Y43" t="s">
        <v>44</v>
      </c>
      <c r="Z43" t="s">
        <v>535</v>
      </c>
    </row>
    <row r="44" spans="1:34">
      <c r="C44" t="s">
        <v>536</v>
      </c>
      <c r="D44" t="s">
        <v>537</v>
      </c>
      <c r="E44" t="s">
        <v>538</v>
      </c>
      <c r="F44">
        <v>2024</v>
      </c>
      <c r="J44" t="s">
        <v>539</v>
      </c>
      <c r="Y44" t="s">
        <v>58</v>
      </c>
      <c r="Z44" t="s">
        <v>540</v>
      </c>
      <c r="AA44" t="s">
        <v>1273</v>
      </c>
      <c r="AB44" t="s">
        <v>91</v>
      </c>
      <c r="AD44" t="s">
        <v>541</v>
      </c>
      <c r="AE44" t="s">
        <v>542</v>
      </c>
      <c r="AF44" t="s">
        <v>543</v>
      </c>
      <c r="AG44" t="s">
        <v>544</v>
      </c>
      <c r="AH44">
        <v>1</v>
      </c>
    </row>
    <row r="45" spans="1:34">
      <c r="C45" t="s">
        <v>545</v>
      </c>
      <c r="D45" t="s">
        <v>546</v>
      </c>
      <c r="E45" t="s">
        <v>547</v>
      </c>
      <c r="F45">
        <v>2022</v>
      </c>
      <c r="J45" t="s">
        <v>548</v>
      </c>
      <c r="Y45" t="s">
        <v>58</v>
      </c>
      <c r="Z45" t="s">
        <v>549</v>
      </c>
      <c r="AA45" t="s">
        <v>408</v>
      </c>
      <c r="AB45" t="s">
        <v>1315</v>
      </c>
      <c r="AD45" t="s">
        <v>551</v>
      </c>
      <c r="AE45" t="s">
        <v>552</v>
      </c>
      <c r="AF45" t="s">
        <v>553</v>
      </c>
      <c r="AG45" t="s">
        <v>554</v>
      </c>
      <c r="AH45" t="s">
        <v>555</v>
      </c>
    </row>
    <row r="46" spans="1:34">
      <c r="C46" t="s">
        <v>556</v>
      </c>
      <c r="D46" t="s">
        <v>557</v>
      </c>
      <c r="E46" t="s">
        <v>558</v>
      </c>
      <c r="F46">
        <v>2021</v>
      </c>
      <c r="J46" t="s">
        <v>559</v>
      </c>
      <c r="Y46" t="s">
        <v>77</v>
      </c>
      <c r="Z46" t="s">
        <v>560</v>
      </c>
    </row>
    <row r="47" spans="1:34">
      <c r="C47" t="s">
        <v>561</v>
      </c>
      <c r="D47" t="s">
        <v>562</v>
      </c>
      <c r="E47" t="s">
        <v>563</v>
      </c>
      <c r="F47">
        <v>2021</v>
      </c>
      <c r="J47" t="s">
        <v>564</v>
      </c>
      <c r="Y47" t="s">
        <v>44</v>
      </c>
      <c r="Z47" t="s">
        <v>560</v>
      </c>
    </row>
    <row r="48" spans="1:34">
      <c r="C48" t="s">
        <v>565</v>
      </c>
      <c r="D48" t="s">
        <v>566</v>
      </c>
      <c r="E48" t="s">
        <v>567</v>
      </c>
      <c r="F48">
        <v>2024</v>
      </c>
      <c r="J48" t="s">
        <v>568</v>
      </c>
      <c r="Y48" t="s">
        <v>58</v>
      </c>
      <c r="Z48" t="s">
        <v>569</v>
      </c>
      <c r="AA48" t="s">
        <v>408</v>
      </c>
      <c r="AB48" t="s">
        <v>1383</v>
      </c>
      <c r="AD48" t="s">
        <v>570</v>
      </c>
      <c r="AE48" t="s">
        <v>571</v>
      </c>
      <c r="AF48" t="s">
        <v>572</v>
      </c>
      <c r="AG48" t="s">
        <v>573</v>
      </c>
      <c r="AH48">
        <v>0.5</v>
      </c>
    </row>
    <row r="49" spans="3:34">
      <c r="C49" t="s">
        <v>574</v>
      </c>
      <c r="D49" t="s">
        <v>575</v>
      </c>
      <c r="E49" t="s">
        <v>576</v>
      </c>
      <c r="F49">
        <v>2021</v>
      </c>
      <c r="J49" t="s">
        <v>577</v>
      </c>
      <c r="Y49" t="s">
        <v>58</v>
      </c>
      <c r="Z49" t="s">
        <v>560</v>
      </c>
      <c r="AA49" t="s">
        <v>578</v>
      </c>
      <c r="AB49" t="s">
        <v>1383</v>
      </c>
      <c r="AD49" t="s">
        <v>579</v>
      </c>
      <c r="AE49" t="s">
        <v>580</v>
      </c>
      <c r="AF49" t="s">
        <v>581</v>
      </c>
      <c r="AG49" t="s">
        <v>582</v>
      </c>
      <c r="AH49">
        <v>0.5</v>
      </c>
    </row>
    <row r="50" spans="3:34">
      <c r="C50" t="s">
        <v>583</v>
      </c>
      <c r="D50" t="s">
        <v>584</v>
      </c>
      <c r="E50" t="s">
        <v>585</v>
      </c>
      <c r="F50">
        <v>2019</v>
      </c>
      <c r="J50" t="s">
        <v>586</v>
      </c>
      <c r="Y50" t="s">
        <v>58</v>
      </c>
      <c r="Z50" t="s">
        <v>587</v>
      </c>
      <c r="AA50" t="s">
        <v>1361</v>
      </c>
      <c r="AB50" t="s">
        <v>1371</v>
      </c>
      <c r="AD50" t="s">
        <v>588</v>
      </c>
      <c r="AE50" t="s">
        <v>589</v>
      </c>
      <c r="AF50" t="s">
        <v>590</v>
      </c>
      <c r="AG50" t="s">
        <v>591</v>
      </c>
      <c r="AH50">
        <v>0</v>
      </c>
    </row>
    <row r="51" spans="3:34">
      <c r="C51" t="s">
        <v>592</v>
      </c>
      <c r="D51" t="s">
        <v>593</v>
      </c>
      <c r="E51" t="s">
        <v>594</v>
      </c>
      <c r="F51">
        <v>2022</v>
      </c>
      <c r="J51" t="s">
        <v>595</v>
      </c>
      <c r="Y51" t="s">
        <v>58</v>
      </c>
      <c r="Z51" t="s">
        <v>462</v>
      </c>
      <c r="AA51" t="s">
        <v>408</v>
      </c>
      <c r="AB51" t="s">
        <v>91</v>
      </c>
      <c r="AD51" t="s">
        <v>596</v>
      </c>
      <c r="AE51" t="s">
        <v>597</v>
      </c>
      <c r="AF51" t="s">
        <v>598</v>
      </c>
      <c r="AG51" t="s">
        <v>599</v>
      </c>
      <c r="AH51">
        <v>0</v>
      </c>
    </row>
    <row r="52" spans="3:34">
      <c r="C52" t="s">
        <v>600</v>
      </c>
      <c r="D52" t="s">
        <v>601</v>
      </c>
      <c r="E52" t="s">
        <v>602</v>
      </c>
      <c r="F52">
        <v>2022</v>
      </c>
      <c r="J52" t="s">
        <v>603</v>
      </c>
      <c r="Y52" t="s">
        <v>58</v>
      </c>
      <c r="Z52" t="s">
        <v>604</v>
      </c>
      <c r="AA52" t="s">
        <v>408</v>
      </c>
      <c r="AB52" t="s">
        <v>1383</v>
      </c>
      <c r="AC52" t="s">
        <v>384</v>
      </c>
      <c r="AD52" t="s">
        <v>605</v>
      </c>
      <c r="AE52" t="s">
        <v>606</v>
      </c>
      <c r="AF52" t="s">
        <v>607</v>
      </c>
      <c r="AG52" t="s">
        <v>608</v>
      </c>
      <c r="AH52">
        <v>0</v>
      </c>
    </row>
    <row r="53" spans="3:34">
      <c r="C53" t="s">
        <v>609</v>
      </c>
      <c r="D53" t="s">
        <v>610</v>
      </c>
      <c r="E53" t="s">
        <v>611</v>
      </c>
      <c r="F53">
        <v>2022</v>
      </c>
      <c r="J53" t="s">
        <v>612</v>
      </c>
      <c r="Y53" t="s">
        <v>58</v>
      </c>
      <c r="Z53" t="s">
        <v>613</v>
      </c>
      <c r="AA53" t="s">
        <v>408</v>
      </c>
      <c r="AB53" t="s">
        <v>91</v>
      </c>
      <c r="AD53" t="s">
        <v>614</v>
      </c>
      <c r="AE53" t="s">
        <v>615</v>
      </c>
      <c r="AF53" t="s">
        <v>616</v>
      </c>
      <c r="AG53" t="s">
        <v>617</v>
      </c>
      <c r="AH53">
        <v>0</v>
      </c>
    </row>
    <row r="54" spans="3:34">
      <c r="C54" t="s">
        <v>618</v>
      </c>
      <c r="D54" t="s">
        <v>619</v>
      </c>
      <c r="E54" t="s">
        <v>620</v>
      </c>
      <c r="F54">
        <v>2023</v>
      </c>
      <c r="J54" t="s">
        <v>621</v>
      </c>
      <c r="Y54" t="s">
        <v>58</v>
      </c>
      <c r="Z54" t="s">
        <v>622</v>
      </c>
      <c r="AA54" t="s">
        <v>142</v>
      </c>
      <c r="AB54" t="s">
        <v>1374</v>
      </c>
      <c r="AD54" t="s">
        <v>623</v>
      </c>
      <c r="AE54" t="s">
        <v>624</v>
      </c>
      <c r="AF54" t="s">
        <v>590</v>
      </c>
      <c r="AG54" t="s">
        <v>625</v>
      </c>
      <c r="AH54">
        <v>1</v>
      </c>
    </row>
    <row r="55" spans="3:34">
      <c r="C55" t="s">
        <v>626</v>
      </c>
      <c r="D55" t="s">
        <v>627</v>
      </c>
      <c r="E55" t="s">
        <v>628</v>
      </c>
      <c r="F55">
        <v>2022</v>
      </c>
      <c r="J55" t="s">
        <v>629</v>
      </c>
      <c r="Y55" t="s">
        <v>58</v>
      </c>
      <c r="Z55" t="s">
        <v>613</v>
      </c>
      <c r="AA55" t="s">
        <v>630</v>
      </c>
      <c r="AB55" t="s">
        <v>207</v>
      </c>
      <c r="AD55" t="s">
        <v>631</v>
      </c>
      <c r="AE55" t="s">
        <v>632</v>
      </c>
      <c r="AF55" t="s">
        <v>633</v>
      </c>
      <c r="AG55" t="s">
        <v>634</v>
      </c>
      <c r="AH55">
        <v>0.5</v>
      </c>
    </row>
    <row r="56" spans="3:34">
      <c r="C56" t="s">
        <v>635</v>
      </c>
      <c r="D56" t="s">
        <v>636</v>
      </c>
      <c r="E56" t="s">
        <v>637</v>
      </c>
      <c r="F56">
        <v>2023</v>
      </c>
      <c r="J56" t="s">
        <v>638</v>
      </c>
      <c r="Y56" t="s">
        <v>58</v>
      </c>
      <c r="Z56" t="s">
        <v>622</v>
      </c>
      <c r="AA56" t="s">
        <v>1362</v>
      </c>
      <c r="AB56" t="s">
        <v>1383</v>
      </c>
      <c r="AC56" t="s">
        <v>384</v>
      </c>
      <c r="AD56" t="s">
        <v>639</v>
      </c>
      <c r="AE56" t="s">
        <v>640</v>
      </c>
      <c r="AF56" t="s">
        <v>641</v>
      </c>
      <c r="AG56" t="s">
        <v>642</v>
      </c>
      <c r="AH56">
        <v>0.5</v>
      </c>
    </row>
    <row r="57" spans="3:34">
      <c r="C57" t="s">
        <v>643</v>
      </c>
      <c r="D57" t="s">
        <v>644</v>
      </c>
      <c r="E57" t="s">
        <v>645</v>
      </c>
      <c r="F57">
        <v>2023</v>
      </c>
      <c r="J57" t="s">
        <v>646</v>
      </c>
      <c r="Y57" t="s">
        <v>58</v>
      </c>
      <c r="Z57" t="s">
        <v>622</v>
      </c>
      <c r="AA57" t="s">
        <v>1363</v>
      </c>
      <c r="AB57" t="s">
        <v>130</v>
      </c>
      <c r="AD57" t="s">
        <v>647</v>
      </c>
      <c r="AE57" t="s">
        <v>648</v>
      </c>
      <c r="AF57" t="s">
        <v>649</v>
      </c>
      <c r="AG57" t="s">
        <v>650</v>
      </c>
      <c r="AH57">
        <v>0</v>
      </c>
    </row>
    <row r="58" spans="3:34">
      <c r="C58" t="s">
        <v>651</v>
      </c>
      <c r="D58" t="s">
        <v>652</v>
      </c>
      <c r="E58" t="s">
        <v>653</v>
      </c>
      <c r="F58">
        <v>2019</v>
      </c>
      <c r="J58" t="s">
        <v>654</v>
      </c>
      <c r="Y58" t="s">
        <v>77</v>
      </c>
      <c r="Z58" t="s">
        <v>655</v>
      </c>
    </row>
    <row r="59" spans="3:34">
      <c r="C59" t="s">
        <v>656</v>
      </c>
      <c r="D59" t="s">
        <v>636</v>
      </c>
      <c r="E59" t="s">
        <v>657</v>
      </c>
      <c r="F59">
        <v>2023</v>
      </c>
      <c r="J59" t="s">
        <v>658</v>
      </c>
      <c r="Y59" t="s">
        <v>58</v>
      </c>
      <c r="Z59" t="s">
        <v>659</v>
      </c>
      <c r="AA59" t="s">
        <v>408</v>
      </c>
      <c r="AB59" t="s">
        <v>409</v>
      </c>
      <c r="AC59" t="s">
        <v>115</v>
      </c>
      <c r="AD59" t="s">
        <v>660</v>
      </c>
      <c r="AE59" t="s">
        <v>661</v>
      </c>
      <c r="AF59" t="s">
        <v>662</v>
      </c>
      <c r="AG59" t="s">
        <v>663</v>
      </c>
      <c r="AH59">
        <v>0</v>
      </c>
    </row>
    <row r="60" spans="3:34">
      <c r="C60" t="s">
        <v>664</v>
      </c>
      <c r="D60" t="s">
        <v>665</v>
      </c>
      <c r="E60" t="s">
        <v>666</v>
      </c>
      <c r="F60">
        <v>2021</v>
      </c>
      <c r="J60" t="s">
        <v>667</v>
      </c>
      <c r="Y60" t="s">
        <v>58</v>
      </c>
      <c r="Z60" t="s">
        <v>516</v>
      </c>
      <c r="AA60" t="s">
        <v>1273</v>
      </c>
      <c r="AB60" t="s">
        <v>409</v>
      </c>
      <c r="AC60" t="s">
        <v>704</v>
      </c>
      <c r="AD60" t="s">
        <v>668</v>
      </c>
      <c r="AE60" t="s">
        <v>669</v>
      </c>
      <c r="AF60" t="s">
        <v>670</v>
      </c>
      <c r="AG60" t="s">
        <v>591</v>
      </c>
      <c r="AH60">
        <v>0</v>
      </c>
    </row>
    <row r="61" spans="3:34">
      <c r="C61" t="s">
        <v>671</v>
      </c>
      <c r="D61" t="s">
        <v>672</v>
      </c>
      <c r="E61" t="s">
        <v>673</v>
      </c>
      <c r="F61">
        <v>2022</v>
      </c>
      <c r="J61" t="s">
        <v>674</v>
      </c>
      <c r="Y61" t="s">
        <v>58</v>
      </c>
      <c r="Z61" t="s">
        <v>613</v>
      </c>
      <c r="AA61" t="s">
        <v>408</v>
      </c>
      <c r="AB61" t="s">
        <v>1383</v>
      </c>
      <c r="AC61" t="s">
        <v>675</v>
      </c>
      <c r="AD61" t="s">
        <v>676</v>
      </c>
      <c r="AE61" t="s">
        <v>677</v>
      </c>
      <c r="AF61" t="s">
        <v>678</v>
      </c>
      <c r="AG61" t="s">
        <v>679</v>
      </c>
      <c r="AH61">
        <v>0</v>
      </c>
    </row>
    <row r="62" spans="3:34">
      <c r="C62" t="s">
        <v>680</v>
      </c>
      <c r="D62" t="s">
        <v>681</v>
      </c>
      <c r="E62" t="s">
        <v>682</v>
      </c>
      <c r="F62">
        <v>2024</v>
      </c>
      <c r="J62" t="s">
        <v>683</v>
      </c>
      <c r="Y62" t="s">
        <v>58</v>
      </c>
      <c r="Z62" t="s">
        <v>684</v>
      </c>
      <c r="AA62" t="s">
        <v>1367</v>
      </c>
      <c r="AB62" t="s">
        <v>1383</v>
      </c>
      <c r="AC62" t="s">
        <v>675</v>
      </c>
      <c r="AD62" t="s">
        <v>685</v>
      </c>
      <c r="AE62" t="s">
        <v>686</v>
      </c>
      <c r="AF62" t="s">
        <v>687</v>
      </c>
      <c r="AG62" t="s">
        <v>688</v>
      </c>
      <c r="AH62">
        <v>0</v>
      </c>
    </row>
    <row r="63" spans="3:34">
      <c r="C63" t="s">
        <v>689</v>
      </c>
      <c r="D63" t="s">
        <v>459</v>
      </c>
      <c r="E63" t="s">
        <v>690</v>
      </c>
      <c r="F63">
        <v>2024</v>
      </c>
      <c r="J63" t="s">
        <v>691</v>
      </c>
      <c r="Y63" t="s">
        <v>58</v>
      </c>
      <c r="Z63" t="s">
        <v>569</v>
      </c>
      <c r="AA63" t="s">
        <v>408</v>
      </c>
      <c r="AB63" t="s">
        <v>1383</v>
      </c>
      <c r="AC63" t="s">
        <v>384</v>
      </c>
      <c r="AD63" t="s">
        <v>692</v>
      </c>
      <c r="AE63" t="s">
        <v>693</v>
      </c>
      <c r="AF63" t="s">
        <v>694</v>
      </c>
      <c r="AG63" t="s">
        <v>695</v>
      </c>
      <c r="AH63">
        <v>1</v>
      </c>
    </row>
    <row r="64" spans="3:34">
      <c r="C64" t="s">
        <v>696</v>
      </c>
      <c r="D64" t="s">
        <v>513</v>
      </c>
      <c r="E64" t="s">
        <v>697</v>
      </c>
      <c r="F64">
        <v>2015</v>
      </c>
      <c r="J64" t="s">
        <v>698</v>
      </c>
      <c r="Y64" t="s">
        <v>58</v>
      </c>
      <c r="Z64" t="s">
        <v>699</v>
      </c>
      <c r="AA64" t="s">
        <v>408</v>
      </c>
      <c r="AB64" t="s">
        <v>1375</v>
      </c>
      <c r="AC64" t="s">
        <v>115</v>
      </c>
      <c r="AD64" t="s">
        <v>700</v>
      </c>
      <c r="AE64" t="s">
        <v>701</v>
      </c>
      <c r="AF64" t="s">
        <v>702</v>
      </c>
      <c r="AG64" t="s">
        <v>703</v>
      </c>
      <c r="AH64">
        <v>0.5</v>
      </c>
    </row>
    <row r="65" spans="1:35">
      <c r="A65" s="24">
        <v>9260075</v>
      </c>
      <c r="B65" s="25" t="s">
        <v>34</v>
      </c>
      <c r="C65" s="25" t="s">
        <v>705</v>
      </c>
      <c r="D65" s="25" t="s">
        <v>706</v>
      </c>
      <c r="E65" s="25" t="s">
        <v>707</v>
      </c>
      <c r="F65" s="25">
        <v>2020</v>
      </c>
      <c r="G65" s="27"/>
      <c r="H65" s="27"/>
      <c r="I65" s="27" t="s">
        <v>708</v>
      </c>
      <c r="J65" s="25" t="s">
        <v>709</v>
      </c>
      <c r="K65" s="25" t="s">
        <v>710</v>
      </c>
      <c r="L65" s="25" t="s">
        <v>711</v>
      </c>
      <c r="M65" s="25"/>
      <c r="N65" s="25" t="s">
        <v>393</v>
      </c>
      <c r="O65" s="25"/>
      <c r="P65" s="25"/>
      <c r="Q65" s="25"/>
      <c r="R65" s="25"/>
      <c r="S65" s="25"/>
      <c r="T65" s="25"/>
      <c r="U65" s="25"/>
      <c r="V65" s="25"/>
      <c r="W65" s="25"/>
      <c r="X65" s="25" t="s">
        <v>712</v>
      </c>
      <c r="Y65" s="27" t="s">
        <v>58</v>
      </c>
      <c r="Z65" s="25" t="s">
        <v>713</v>
      </c>
      <c r="AA65" s="25" t="s">
        <v>142</v>
      </c>
      <c r="AB65" s="25" t="s">
        <v>463</v>
      </c>
      <c r="AC65" s="25"/>
      <c r="AD65" s="25" t="s">
        <v>714</v>
      </c>
      <c r="AE65" s="25" t="s">
        <v>715</v>
      </c>
      <c r="AF65" s="25" t="s">
        <v>716</v>
      </c>
      <c r="AG65" s="25" t="s">
        <v>717</v>
      </c>
      <c r="AH65" s="25">
        <v>0</v>
      </c>
      <c r="AI65" s="25"/>
    </row>
    <row r="66" spans="1:35">
      <c r="A66" s="24">
        <v>8914670</v>
      </c>
      <c r="B66" s="25" t="s">
        <v>34</v>
      </c>
      <c r="C66" s="25" t="s">
        <v>718</v>
      </c>
      <c r="D66" s="25" t="s">
        <v>719</v>
      </c>
      <c r="E66" s="25" t="s">
        <v>720</v>
      </c>
      <c r="F66" s="25">
        <v>2019</v>
      </c>
      <c r="G66" s="27"/>
      <c r="H66" s="27"/>
      <c r="I66" s="27" t="s">
        <v>721</v>
      </c>
      <c r="J66" s="25" t="s">
        <v>722</v>
      </c>
      <c r="K66" s="25" t="s">
        <v>723</v>
      </c>
      <c r="L66" s="25" t="s">
        <v>724</v>
      </c>
      <c r="M66" s="25" t="s">
        <v>725</v>
      </c>
      <c r="N66" s="25" t="s">
        <v>393</v>
      </c>
      <c r="O66" s="25"/>
      <c r="P66" s="25"/>
      <c r="Q66" s="25"/>
      <c r="R66" s="25"/>
      <c r="S66" s="25"/>
      <c r="T66" s="25"/>
      <c r="U66" s="25"/>
      <c r="V66" s="25"/>
      <c r="W66" s="25"/>
      <c r="X66" s="25" t="s">
        <v>726</v>
      </c>
      <c r="Y66" s="27" t="s">
        <v>58</v>
      </c>
      <c r="Z66" s="25" t="s">
        <v>727</v>
      </c>
      <c r="AA66" s="25" t="s">
        <v>408</v>
      </c>
      <c r="AB66" s="25" t="s">
        <v>1386</v>
      </c>
      <c r="AC66" s="25" t="s">
        <v>728</v>
      </c>
      <c r="AD66" s="25" t="s">
        <v>47</v>
      </c>
      <c r="AE66" s="25" t="s">
        <v>729</v>
      </c>
      <c r="AF66" s="25" t="s">
        <v>730</v>
      </c>
      <c r="AG66" s="25" t="s">
        <v>66</v>
      </c>
      <c r="AH66" s="25">
        <v>0</v>
      </c>
      <c r="AI66" s="25"/>
    </row>
    <row r="67" spans="1:35">
      <c r="A67" s="24">
        <v>8305938</v>
      </c>
      <c r="B67" s="25" t="s">
        <v>34</v>
      </c>
      <c r="C67" s="25" t="s">
        <v>731</v>
      </c>
      <c r="D67" s="25" t="s">
        <v>161</v>
      </c>
      <c r="E67" s="25" t="s">
        <v>732</v>
      </c>
      <c r="F67" s="25">
        <v>2017</v>
      </c>
      <c r="G67" s="27"/>
      <c r="H67" s="27"/>
      <c r="I67" s="27" t="s">
        <v>733</v>
      </c>
      <c r="J67" s="25" t="s">
        <v>734</v>
      </c>
      <c r="K67" s="25" t="s">
        <v>735</v>
      </c>
      <c r="L67" s="25" t="s">
        <v>736</v>
      </c>
      <c r="M67" s="25"/>
      <c r="N67" s="25" t="s">
        <v>167</v>
      </c>
      <c r="O67" s="25"/>
      <c r="P67" s="25"/>
      <c r="Q67" s="25"/>
      <c r="R67" s="25"/>
      <c r="S67" s="25"/>
      <c r="T67" s="25"/>
      <c r="U67" s="25"/>
      <c r="V67" s="25"/>
      <c r="W67" s="25"/>
      <c r="X67" s="25" t="s">
        <v>737</v>
      </c>
      <c r="Y67" s="27" t="s">
        <v>58</v>
      </c>
      <c r="Z67" s="25" t="s">
        <v>738</v>
      </c>
      <c r="AA67" s="25" t="s">
        <v>114</v>
      </c>
      <c r="AB67" s="25" t="s">
        <v>1372</v>
      </c>
      <c r="AC67" s="25"/>
      <c r="AD67" s="25" t="s">
        <v>739</v>
      </c>
      <c r="AE67" s="25" t="s">
        <v>740</v>
      </c>
      <c r="AF67" s="25" t="s">
        <v>716</v>
      </c>
      <c r="AG67" s="25" t="s">
        <v>741</v>
      </c>
      <c r="AH67" s="25">
        <v>0</v>
      </c>
      <c r="AI67" s="25"/>
    </row>
    <row r="68" spans="1:35">
      <c r="A68" s="24">
        <v>8453107</v>
      </c>
      <c r="B68" s="25" t="s">
        <v>34</v>
      </c>
      <c r="C68" s="25" t="s">
        <v>742</v>
      </c>
      <c r="D68" s="25" t="s">
        <v>743</v>
      </c>
      <c r="E68" s="25" t="s">
        <v>744</v>
      </c>
      <c r="F68" s="25">
        <v>2018</v>
      </c>
      <c r="G68" s="27"/>
      <c r="H68" s="27"/>
      <c r="I68" s="27" t="s">
        <v>745</v>
      </c>
      <c r="J68" s="25" t="s">
        <v>746</v>
      </c>
      <c r="K68" s="25" t="s">
        <v>747</v>
      </c>
      <c r="L68" s="25" t="s">
        <v>748</v>
      </c>
      <c r="M68" s="25" t="s">
        <v>749</v>
      </c>
      <c r="N68" s="25" t="s">
        <v>75</v>
      </c>
      <c r="O68" s="25"/>
      <c r="P68" s="25"/>
      <c r="Q68" s="25"/>
      <c r="R68" s="25"/>
      <c r="S68" s="25"/>
      <c r="T68" s="25"/>
      <c r="U68" s="25"/>
      <c r="V68" s="25"/>
      <c r="W68" s="25"/>
      <c r="X68" s="25" t="s">
        <v>750</v>
      </c>
      <c r="Y68" s="27" t="s">
        <v>58</v>
      </c>
      <c r="Z68" s="25" t="s">
        <v>1051</v>
      </c>
      <c r="AA68" s="25"/>
      <c r="AB68" s="25"/>
      <c r="AC68" s="25"/>
      <c r="AD68" s="25"/>
      <c r="AE68" s="25"/>
      <c r="AF68" s="25"/>
      <c r="AG68" s="25"/>
      <c r="AH68" s="25"/>
      <c r="AI68" s="25" t="s">
        <v>751</v>
      </c>
    </row>
    <row r="69" spans="1:35">
      <c r="A69" s="24">
        <v>8754416</v>
      </c>
      <c r="B69" s="25" t="s">
        <v>34</v>
      </c>
      <c r="C69" s="25" t="s">
        <v>752</v>
      </c>
      <c r="D69" s="25" t="s">
        <v>753</v>
      </c>
      <c r="E69" s="25" t="s">
        <v>754</v>
      </c>
      <c r="F69" s="25">
        <v>2019</v>
      </c>
      <c r="G69" s="27">
        <v>1</v>
      </c>
      <c r="H69" s="27"/>
      <c r="I69" s="27" t="s">
        <v>755</v>
      </c>
      <c r="J69" s="25" t="s">
        <v>756</v>
      </c>
      <c r="K69" s="25" t="s">
        <v>757</v>
      </c>
      <c r="L69" s="25" t="s">
        <v>758</v>
      </c>
      <c r="M69" s="25" t="s">
        <v>55</v>
      </c>
      <c r="N69" s="25" t="s">
        <v>759</v>
      </c>
      <c r="O69" s="25"/>
      <c r="P69" s="25"/>
      <c r="Q69" s="25"/>
      <c r="R69" s="25"/>
      <c r="S69" s="25"/>
      <c r="T69" s="25"/>
      <c r="U69" s="25"/>
      <c r="V69" s="25"/>
      <c r="W69" s="25"/>
      <c r="X69" s="25" t="s">
        <v>760</v>
      </c>
      <c r="Y69" s="27" t="s">
        <v>58</v>
      </c>
      <c r="Z69" s="25" t="s">
        <v>727</v>
      </c>
      <c r="AA69" s="25" t="s">
        <v>408</v>
      </c>
      <c r="AB69" s="25" t="s">
        <v>550</v>
      </c>
      <c r="AC69" s="25" t="s">
        <v>728</v>
      </c>
      <c r="AD69" s="29" t="s">
        <v>761</v>
      </c>
      <c r="AE69" s="25" t="s">
        <v>762</v>
      </c>
      <c r="AF69" s="25" t="s">
        <v>763</v>
      </c>
      <c r="AG69" s="25" t="s">
        <v>764</v>
      </c>
      <c r="AH69" s="25">
        <v>0.5</v>
      </c>
      <c r="AI69" s="25"/>
    </row>
    <row r="70" spans="1:35">
      <c r="A70" s="24">
        <v>7582788</v>
      </c>
      <c r="B70" s="25" t="s">
        <v>34</v>
      </c>
      <c r="C70" s="25" t="s">
        <v>765</v>
      </c>
      <c r="D70" s="25" t="s">
        <v>766</v>
      </c>
      <c r="E70" s="25" t="s">
        <v>767</v>
      </c>
      <c r="F70" s="25">
        <v>2016</v>
      </c>
      <c r="G70" s="27"/>
      <c r="H70" s="27"/>
      <c r="I70" s="27" t="s">
        <v>768</v>
      </c>
      <c r="J70" s="25" t="s">
        <v>769</v>
      </c>
      <c r="K70" s="25" t="s">
        <v>770</v>
      </c>
      <c r="L70" s="25"/>
      <c r="M70" s="25"/>
      <c r="N70" s="25" t="s">
        <v>353</v>
      </c>
      <c r="O70" s="25"/>
      <c r="P70" s="25"/>
      <c r="Q70" s="25"/>
      <c r="R70" s="25"/>
      <c r="S70" s="25"/>
      <c r="T70" s="25"/>
      <c r="U70" s="25"/>
      <c r="V70" s="25"/>
      <c r="W70" s="25"/>
      <c r="X70" s="25" t="s">
        <v>771</v>
      </c>
      <c r="Y70" s="27" t="s">
        <v>58</v>
      </c>
      <c r="Z70" s="25" t="s">
        <v>1018</v>
      </c>
      <c r="AA70" s="25" t="s">
        <v>1290</v>
      </c>
      <c r="AB70" s="25"/>
      <c r="AC70" s="25"/>
      <c r="AD70" s="25"/>
      <c r="AE70" s="25"/>
      <c r="AF70" s="25"/>
      <c r="AG70" s="25"/>
      <c r="AH70" s="25"/>
      <c r="AI70" s="25" t="s">
        <v>751</v>
      </c>
    </row>
    <row r="71" spans="1:35">
      <c r="A71" s="24" t="s">
        <v>772</v>
      </c>
      <c r="B71" s="25" t="s">
        <v>773</v>
      </c>
      <c r="C71" s="25" t="s">
        <v>774</v>
      </c>
      <c r="D71" s="25" t="s">
        <v>775</v>
      </c>
      <c r="E71" s="25" t="s">
        <v>776</v>
      </c>
      <c r="F71" s="25">
        <v>2017</v>
      </c>
      <c r="G71" s="27"/>
      <c r="H71" s="27"/>
      <c r="I71" s="27" t="s">
        <v>777</v>
      </c>
      <c r="J71" s="25" t="s">
        <v>778</v>
      </c>
      <c r="K71" s="25" t="s">
        <v>779</v>
      </c>
      <c r="L71" s="25" t="s">
        <v>772</v>
      </c>
      <c r="M71" s="25"/>
      <c r="N71" s="25"/>
      <c r="O71" s="25"/>
      <c r="P71" s="25">
        <v>9781450344869</v>
      </c>
      <c r="Q71" s="25" t="s">
        <v>780</v>
      </c>
      <c r="R71" s="25" t="s">
        <v>781</v>
      </c>
      <c r="S71" s="29" t="s">
        <v>782</v>
      </c>
      <c r="T71" s="25">
        <v>7</v>
      </c>
      <c r="U71" s="25" t="s">
        <v>783</v>
      </c>
      <c r="V71" s="25" t="s">
        <v>784</v>
      </c>
      <c r="W71" s="25"/>
      <c r="X71" s="25" t="s">
        <v>785</v>
      </c>
      <c r="Y71" s="27" t="s">
        <v>58</v>
      </c>
      <c r="Z71" s="25" t="s">
        <v>786</v>
      </c>
      <c r="AA71" s="25" t="s">
        <v>408</v>
      </c>
      <c r="AB71" s="25" t="s">
        <v>787</v>
      </c>
      <c r="AC71" s="25"/>
      <c r="AD71" s="25" t="s">
        <v>788</v>
      </c>
      <c r="AE71" s="25" t="s">
        <v>789</v>
      </c>
      <c r="AF71" s="25" t="s">
        <v>716</v>
      </c>
      <c r="AG71" s="25" t="s">
        <v>66</v>
      </c>
      <c r="AH71" s="25">
        <v>0</v>
      </c>
      <c r="AI71" s="25"/>
    </row>
    <row r="72" spans="1:35">
      <c r="A72" s="24" t="s">
        <v>790</v>
      </c>
      <c r="B72" s="25" t="s">
        <v>791</v>
      </c>
      <c r="C72" s="25" t="s">
        <v>792</v>
      </c>
      <c r="D72" s="25"/>
      <c r="E72" s="25" t="s">
        <v>793</v>
      </c>
      <c r="F72" s="25">
        <v>2021</v>
      </c>
      <c r="G72" s="27">
        <v>33</v>
      </c>
      <c r="H72" s="27">
        <v>9</v>
      </c>
      <c r="I72" s="27" t="s">
        <v>794</v>
      </c>
      <c r="J72" s="25" t="s">
        <v>795</v>
      </c>
      <c r="K72" s="25" t="s">
        <v>796</v>
      </c>
      <c r="L72" s="29" t="s">
        <v>797</v>
      </c>
      <c r="M72" s="25" t="s">
        <v>798</v>
      </c>
      <c r="N72" s="25"/>
      <c r="O72" s="25" t="s">
        <v>799</v>
      </c>
      <c r="P72" s="25"/>
      <c r="Q72" s="25"/>
      <c r="R72" s="25"/>
      <c r="S72" s="29" t="s">
        <v>800</v>
      </c>
      <c r="T72" s="25"/>
      <c r="U72" s="25"/>
      <c r="V72" s="25"/>
      <c r="W72" s="25"/>
      <c r="X72" s="25" t="s">
        <v>801</v>
      </c>
      <c r="Y72" s="27" t="s">
        <v>44</v>
      </c>
      <c r="Z72" s="25" t="s">
        <v>802</v>
      </c>
      <c r="AA72" s="27" t="s">
        <v>77</v>
      </c>
      <c r="AB72" s="27"/>
      <c r="AC72" s="27"/>
      <c r="AD72" s="27"/>
      <c r="AE72" s="27"/>
      <c r="AF72" s="27"/>
      <c r="AG72" s="27"/>
      <c r="AH72" s="27"/>
      <c r="AI72" s="25"/>
    </row>
    <row r="73" spans="1:35">
      <c r="A73" s="24" t="s">
        <v>803</v>
      </c>
      <c r="B73" s="25" t="s">
        <v>791</v>
      </c>
      <c r="C73" s="25" t="s">
        <v>804</v>
      </c>
      <c r="D73" s="25"/>
      <c r="E73" s="25" t="s">
        <v>805</v>
      </c>
      <c r="F73" s="25">
        <v>2019</v>
      </c>
      <c r="G73" s="27">
        <v>153</v>
      </c>
      <c r="H73" s="27"/>
      <c r="I73" s="27" t="s">
        <v>806</v>
      </c>
      <c r="J73" s="25" t="s">
        <v>807</v>
      </c>
      <c r="K73" s="25" t="s">
        <v>808</v>
      </c>
      <c r="L73" s="29" t="s">
        <v>809</v>
      </c>
      <c r="M73" s="25" t="s">
        <v>810</v>
      </c>
      <c r="N73" s="25"/>
      <c r="O73" s="25" t="s">
        <v>513</v>
      </c>
      <c r="P73" s="25"/>
      <c r="Q73" s="25"/>
      <c r="R73" s="25"/>
      <c r="S73" s="29" t="s">
        <v>811</v>
      </c>
      <c r="T73" s="25"/>
      <c r="U73" s="25"/>
      <c r="V73" s="25"/>
      <c r="W73" s="25"/>
      <c r="X73" s="25" t="s">
        <v>812</v>
      </c>
      <c r="Y73" s="27" t="s">
        <v>58</v>
      </c>
      <c r="Z73" s="25" t="s">
        <v>727</v>
      </c>
      <c r="AA73" s="25" t="s">
        <v>408</v>
      </c>
      <c r="AB73" s="25" t="s">
        <v>1372</v>
      </c>
      <c r="AC73" s="25" t="s">
        <v>813</v>
      </c>
      <c r="AD73" s="25" t="s">
        <v>814</v>
      </c>
      <c r="AE73" s="25" t="s">
        <v>815</v>
      </c>
      <c r="AF73" s="25" t="s">
        <v>816</v>
      </c>
      <c r="AG73" s="25" t="s">
        <v>817</v>
      </c>
      <c r="AH73" s="25">
        <v>0</v>
      </c>
      <c r="AI73" s="25"/>
    </row>
    <row r="74" spans="1:35">
      <c r="A74" s="24" t="s">
        <v>818</v>
      </c>
      <c r="B74" s="25" t="s">
        <v>791</v>
      </c>
      <c r="C74" s="25" t="s">
        <v>819</v>
      </c>
      <c r="D74" s="25"/>
      <c r="E74" s="25" t="s">
        <v>820</v>
      </c>
      <c r="F74" s="25">
        <v>2018</v>
      </c>
      <c r="G74" s="27">
        <v>135</v>
      </c>
      <c r="H74" s="27"/>
      <c r="I74" s="27" t="s">
        <v>821</v>
      </c>
      <c r="J74" s="25" t="s">
        <v>822</v>
      </c>
      <c r="K74" s="25" t="s">
        <v>823</v>
      </c>
      <c r="L74" s="29" t="s">
        <v>824</v>
      </c>
      <c r="M74" s="25" t="s">
        <v>810</v>
      </c>
      <c r="N74" s="25"/>
      <c r="O74" s="25" t="s">
        <v>513</v>
      </c>
      <c r="P74" s="25"/>
      <c r="Q74" s="25"/>
      <c r="R74" s="25"/>
      <c r="S74" s="29" t="s">
        <v>825</v>
      </c>
      <c r="T74" s="25"/>
      <c r="U74" s="25"/>
      <c r="V74" s="25"/>
      <c r="W74" s="25"/>
      <c r="X74" s="25" t="s">
        <v>826</v>
      </c>
      <c r="Y74" s="27" t="s">
        <v>58</v>
      </c>
      <c r="Z74" s="25" t="s">
        <v>727</v>
      </c>
      <c r="AA74" s="25" t="s">
        <v>408</v>
      </c>
      <c r="AB74" s="25" t="s">
        <v>463</v>
      </c>
      <c r="AC74" s="25"/>
      <c r="AD74" s="25" t="s">
        <v>827</v>
      </c>
      <c r="AE74" s="25" t="s">
        <v>828</v>
      </c>
      <c r="AF74" s="25" t="s">
        <v>829</v>
      </c>
      <c r="AG74" s="25" t="s">
        <v>830</v>
      </c>
      <c r="AH74" s="25">
        <v>0</v>
      </c>
      <c r="AI74" s="25"/>
    </row>
    <row r="75" spans="1:35">
      <c r="A75" s="24" t="s">
        <v>831</v>
      </c>
      <c r="B75" s="25" t="s">
        <v>791</v>
      </c>
      <c r="C75" s="25" t="s">
        <v>832</v>
      </c>
      <c r="D75" s="25"/>
      <c r="E75" s="25" t="s">
        <v>833</v>
      </c>
      <c r="F75" s="25">
        <v>2022</v>
      </c>
      <c r="G75" s="27">
        <v>34</v>
      </c>
      <c r="H75" s="27" t="s">
        <v>834</v>
      </c>
      <c r="I75" s="27" t="s">
        <v>835</v>
      </c>
      <c r="J75" s="25" t="s">
        <v>836</v>
      </c>
      <c r="K75" s="25" t="s">
        <v>837</v>
      </c>
      <c r="L75" s="29" t="s">
        <v>838</v>
      </c>
      <c r="M75" s="25" t="s">
        <v>798</v>
      </c>
      <c r="N75" s="25"/>
      <c r="O75" s="25" t="s">
        <v>799</v>
      </c>
      <c r="P75" s="25"/>
      <c r="Q75" s="25"/>
      <c r="R75" s="25"/>
      <c r="S75" s="29" t="s">
        <v>839</v>
      </c>
      <c r="T75" s="25"/>
      <c r="U75" s="25"/>
      <c r="V75" s="25"/>
      <c r="W75" s="25"/>
      <c r="X75" s="25" t="s">
        <v>840</v>
      </c>
      <c r="Y75" s="27" t="s">
        <v>58</v>
      </c>
      <c r="Z75" s="25" t="s">
        <v>802</v>
      </c>
      <c r="AA75" s="25" t="s">
        <v>60</v>
      </c>
      <c r="AB75" s="25" t="s">
        <v>1315</v>
      </c>
      <c r="AC75" s="25" t="s">
        <v>728</v>
      </c>
      <c r="AD75" s="25" t="s">
        <v>841</v>
      </c>
      <c r="AE75" s="25" t="s">
        <v>842</v>
      </c>
      <c r="AF75" s="25" t="s">
        <v>843</v>
      </c>
      <c r="AG75" s="25" t="s">
        <v>66</v>
      </c>
      <c r="AH75" s="25">
        <v>0.5</v>
      </c>
      <c r="AI75" s="25"/>
    </row>
    <row r="76" spans="1:35">
      <c r="A76" s="24" t="s">
        <v>844</v>
      </c>
      <c r="B76" s="25" t="s">
        <v>791</v>
      </c>
      <c r="C76" s="25" t="s">
        <v>845</v>
      </c>
      <c r="D76" s="25"/>
      <c r="E76" s="25" t="s">
        <v>846</v>
      </c>
      <c r="F76" s="25">
        <v>2020</v>
      </c>
      <c r="G76" s="27">
        <v>163</v>
      </c>
      <c r="H76" s="27"/>
      <c r="I76" s="27" t="s">
        <v>847</v>
      </c>
      <c r="J76" s="25" t="s">
        <v>848</v>
      </c>
      <c r="K76" s="25" t="s">
        <v>849</v>
      </c>
      <c r="L76" s="29" t="s">
        <v>850</v>
      </c>
      <c r="M76" s="25" t="s">
        <v>810</v>
      </c>
      <c r="N76" s="25"/>
      <c r="O76" s="25" t="s">
        <v>513</v>
      </c>
      <c r="P76" s="25"/>
      <c r="Q76" s="25"/>
      <c r="R76" s="25"/>
      <c r="S76" s="29" t="s">
        <v>851</v>
      </c>
      <c r="T76" s="25"/>
      <c r="U76" s="25"/>
      <c r="V76" s="25"/>
      <c r="W76" s="25"/>
      <c r="X76" s="25" t="s">
        <v>852</v>
      </c>
      <c r="Y76" s="27" t="s">
        <v>58</v>
      </c>
      <c r="Z76" s="25" t="s">
        <v>853</v>
      </c>
      <c r="AA76" s="25" t="s">
        <v>408</v>
      </c>
      <c r="AB76" s="25" t="s">
        <v>1315</v>
      </c>
      <c r="AC76" s="25" t="s">
        <v>728</v>
      </c>
      <c r="AD76" s="25" t="s">
        <v>827</v>
      </c>
      <c r="AE76" s="25" t="s">
        <v>854</v>
      </c>
      <c r="AF76" s="25" t="s">
        <v>855</v>
      </c>
      <c r="AG76" s="25" t="s">
        <v>66</v>
      </c>
      <c r="AH76" s="25">
        <v>0</v>
      </c>
      <c r="AI76" s="25"/>
    </row>
    <row r="77" spans="1:35">
      <c r="A77" s="24" t="s">
        <v>856</v>
      </c>
      <c r="B77" s="25" t="s">
        <v>791</v>
      </c>
      <c r="C77" s="25" t="s">
        <v>857</v>
      </c>
      <c r="D77" s="25"/>
      <c r="E77" s="25" t="s">
        <v>858</v>
      </c>
      <c r="F77" s="25">
        <v>2025</v>
      </c>
      <c r="G77" s="27">
        <v>160</v>
      </c>
      <c r="H77" s="27"/>
      <c r="I77" s="27" t="s">
        <v>859</v>
      </c>
      <c r="J77" s="25" t="s">
        <v>860</v>
      </c>
      <c r="K77" s="25" t="s">
        <v>861</v>
      </c>
      <c r="L77" s="29" t="s">
        <v>862</v>
      </c>
      <c r="M77" s="25" t="s">
        <v>863</v>
      </c>
      <c r="N77" s="25"/>
      <c r="O77" s="25" t="s">
        <v>864</v>
      </c>
      <c r="P77" s="25"/>
      <c r="Q77" s="25"/>
      <c r="R77" s="25"/>
      <c r="S77" s="29" t="s">
        <v>865</v>
      </c>
      <c r="T77" s="25"/>
      <c r="U77" s="25"/>
      <c r="V77" s="25"/>
      <c r="W77" s="25"/>
      <c r="X77" s="25" t="s">
        <v>866</v>
      </c>
      <c r="Y77" s="27" t="s">
        <v>58</v>
      </c>
      <c r="Z77" s="25" t="s">
        <v>867</v>
      </c>
      <c r="AA77" s="25" t="s">
        <v>1367</v>
      </c>
      <c r="AB77" s="25" t="s">
        <v>1371</v>
      </c>
      <c r="AC77" s="25" t="s">
        <v>728</v>
      </c>
      <c r="AD77" s="25" t="s">
        <v>827</v>
      </c>
      <c r="AE77" s="25" t="s">
        <v>869</v>
      </c>
      <c r="AF77" s="25" t="s">
        <v>870</v>
      </c>
      <c r="AG77" s="25" t="s">
        <v>871</v>
      </c>
      <c r="AH77" s="25">
        <v>0.5</v>
      </c>
      <c r="AI77" s="25"/>
    </row>
    <row r="78" spans="1:35">
      <c r="A78" s="24" t="s">
        <v>872</v>
      </c>
      <c r="B78" s="25" t="s">
        <v>791</v>
      </c>
      <c r="C78" s="25" t="s">
        <v>873</v>
      </c>
      <c r="D78" s="25"/>
      <c r="E78" s="25" t="s">
        <v>874</v>
      </c>
      <c r="F78" s="25">
        <v>2020</v>
      </c>
      <c r="G78" s="27">
        <v>169</v>
      </c>
      <c r="H78" s="27"/>
      <c r="I78" s="27" t="s">
        <v>875</v>
      </c>
      <c r="J78" s="25" t="s">
        <v>876</v>
      </c>
      <c r="K78" s="25" t="s">
        <v>877</v>
      </c>
      <c r="L78" s="29" t="s">
        <v>878</v>
      </c>
      <c r="M78" s="25" t="s">
        <v>810</v>
      </c>
      <c r="N78" s="25"/>
      <c r="O78" s="25" t="s">
        <v>513</v>
      </c>
      <c r="P78" s="25"/>
      <c r="Q78" s="25"/>
      <c r="R78" s="25"/>
      <c r="S78" s="29" t="s">
        <v>879</v>
      </c>
      <c r="T78" s="25"/>
      <c r="U78" s="25"/>
      <c r="V78" s="25"/>
      <c r="W78" s="25"/>
      <c r="X78" s="25" t="s">
        <v>880</v>
      </c>
      <c r="Y78" s="27" t="s">
        <v>58</v>
      </c>
      <c r="Z78" s="25" t="s">
        <v>713</v>
      </c>
      <c r="AA78" s="25" t="s">
        <v>408</v>
      </c>
      <c r="AB78" s="25" t="s">
        <v>1315</v>
      </c>
      <c r="AC78" s="25" t="s">
        <v>728</v>
      </c>
      <c r="AD78" s="25" t="s">
        <v>881</v>
      </c>
      <c r="AE78" s="25" t="s">
        <v>882</v>
      </c>
      <c r="AF78" s="25" t="s">
        <v>763</v>
      </c>
      <c r="AG78" s="25" t="s">
        <v>883</v>
      </c>
      <c r="AH78" s="25">
        <v>1</v>
      </c>
      <c r="AI78" s="25"/>
    </row>
    <row r="79" spans="1:35">
      <c r="A79" s="24" t="s">
        <v>884</v>
      </c>
      <c r="B79" s="25" t="s">
        <v>791</v>
      </c>
      <c r="C79" s="25" t="s">
        <v>885</v>
      </c>
      <c r="D79" s="25"/>
      <c r="E79" s="25" t="s">
        <v>886</v>
      </c>
      <c r="F79" s="25">
        <v>2022</v>
      </c>
      <c r="G79" s="27">
        <v>299</v>
      </c>
      <c r="H79" s="27">
        <v>1</v>
      </c>
      <c r="I79" s="27" t="s">
        <v>887</v>
      </c>
      <c r="J79" s="25" t="s">
        <v>888</v>
      </c>
      <c r="K79" s="25" t="s">
        <v>889</v>
      </c>
      <c r="L79" s="29" t="s">
        <v>890</v>
      </c>
      <c r="M79" s="25" t="s">
        <v>891</v>
      </c>
      <c r="N79" s="25"/>
      <c r="O79" s="25" t="s">
        <v>892</v>
      </c>
      <c r="P79" s="25"/>
      <c r="Q79" s="25"/>
      <c r="R79" s="25"/>
      <c r="S79" s="29" t="s">
        <v>893</v>
      </c>
      <c r="T79" s="25"/>
      <c r="U79" s="25"/>
      <c r="V79" s="25"/>
      <c r="W79" s="25"/>
      <c r="X79" s="25" t="s">
        <v>894</v>
      </c>
      <c r="Y79" s="27" t="s">
        <v>58</v>
      </c>
      <c r="Z79" s="25" t="s">
        <v>1051</v>
      </c>
      <c r="AA79" s="25" t="s">
        <v>1392</v>
      </c>
      <c r="AB79" s="25"/>
      <c r="AC79" s="25"/>
      <c r="AD79" s="25"/>
      <c r="AE79" s="25"/>
      <c r="AF79" s="25"/>
      <c r="AG79" s="25"/>
      <c r="AH79" s="25"/>
      <c r="AI79" s="25" t="s">
        <v>751</v>
      </c>
    </row>
    <row r="80" spans="1:35">
      <c r="A80" s="24" t="s">
        <v>895</v>
      </c>
      <c r="B80" s="25" t="s">
        <v>791</v>
      </c>
      <c r="C80" s="25" t="s">
        <v>896</v>
      </c>
      <c r="D80" s="25"/>
      <c r="E80" s="25" t="s">
        <v>897</v>
      </c>
      <c r="F80" s="25">
        <v>2023</v>
      </c>
      <c r="G80" s="27">
        <v>205</v>
      </c>
      <c r="H80" s="27"/>
      <c r="I80" s="27" t="s">
        <v>898</v>
      </c>
      <c r="J80" s="25" t="s">
        <v>899</v>
      </c>
      <c r="K80" s="25" t="s">
        <v>900</v>
      </c>
      <c r="L80" s="29" t="s">
        <v>901</v>
      </c>
      <c r="M80" s="25" t="s">
        <v>810</v>
      </c>
      <c r="N80" s="25"/>
      <c r="O80" s="25" t="s">
        <v>513</v>
      </c>
      <c r="P80" s="25"/>
      <c r="Q80" s="25"/>
      <c r="R80" s="25"/>
      <c r="S80" s="29" t="s">
        <v>902</v>
      </c>
      <c r="T80" s="25"/>
      <c r="U80" s="25"/>
      <c r="V80" s="25"/>
      <c r="W80" s="25"/>
      <c r="X80" s="25" t="s">
        <v>903</v>
      </c>
      <c r="Y80" s="27" t="s">
        <v>58</v>
      </c>
      <c r="Z80" s="25" t="s">
        <v>904</v>
      </c>
      <c r="AA80" s="25" t="s">
        <v>1368</v>
      </c>
      <c r="AB80" s="25" t="s">
        <v>1376</v>
      </c>
      <c r="AC80" s="25" t="s">
        <v>813</v>
      </c>
      <c r="AD80" s="25" t="s">
        <v>905</v>
      </c>
      <c r="AE80" s="25" t="s">
        <v>906</v>
      </c>
      <c r="AF80" s="25" t="s">
        <v>907</v>
      </c>
      <c r="AG80" s="25" t="s">
        <v>908</v>
      </c>
      <c r="AH80" s="25">
        <v>1</v>
      </c>
      <c r="AI80" s="25"/>
    </row>
    <row r="81" spans="1:35">
      <c r="A81" s="24" t="s">
        <v>909</v>
      </c>
      <c r="B81" s="25" t="s">
        <v>791</v>
      </c>
      <c r="C81" s="25" t="s">
        <v>910</v>
      </c>
      <c r="D81" s="25"/>
      <c r="E81" s="25" t="s">
        <v>911</v>
      </c>
      <c r="F81" s="25">
        <v>2022</v>
      </c>
      <c r="G81" s="27">
        <v>192</v>
      </c>
      <c r="H81" s="27"/>
      <c r="I81" s="27" t="s">
        <v>912</v>
      </c>
      <c r="J81" s="25" t="s">
        <v>913</v>
      </c>
      <c r="K81" s="25" t="s">
        <v>914</v>
      </c>
      <c r="L81" s="29" t="s">
        <v>915</v>
      </c>
      <c r="M81" s="25" t="s">
        <v>810</v>
      </c>
      <c r="N81" s="25"/>
      <c r="O81" s="25" t="s">
        <v>513</v>
      </c>
      <c r="P81" s="25"/>
      <c r="Q81" s="25"/>
      <c r="R81" s="25"/>
      <c r="S81" s="29" t="s">
        <v>916</v>
      </c>
      <c r="T81" s="25"/>
      <c r="U81" s="25"/>
      <c r="V81" s="25"/>
      <c r="W81" s="25"/>
      <c r="X81" s="25" t="s">
        <v>917</v>
      </c>
      <c r="Y81" s="27" t="s">
        <v>58</v>
      </c>
      <c r="Z81" s="25" t="s">
        <v>918</v>
      </c>
      <c r="AA81" s="25" t="s">
        <v>408</v>
      </c>
      <c r="AB81" s="25" t="s">
        <v>1377</v>
      </c>
      <c r="AC81" s="25" t="s">
        <v>728</v>
      </c>
      <c r="AD81" s="25" t="s">
        <v>919</v>
      </c>
      <c r="AE81" s="25" t="s">
        <v>920</v>
      </c>
      <c r="AF81" s="25" t="s">
        <v>921</v>
      </c>
      <c r="AG81" s="25" t="s">
        <v>66</v>
      </c>
      <c r="AH81" s="25">
        <v>1</v>
      </c>
      <c r="AI81" s="25"/>
    </row>
    <row r="82" spans="1:35">
      <c r="A82" s="24"/>
      <c r="B82" s="25"/>
      <c r="C82" s="25" t="s">
        <v>922</v>
      </c>
      <c r="D82" s="25" t="s">
        <v>923</v>
      </c>
      <c r="E82" s="25" t="s">
        <v>924</v>
      </c>
      <c r="F82" s="25">
        <v>2018</v>
      </c>
      <c r="G82" s="27"/>
      <c r="H82" s="27"/>
      <c r="I82" s="27"/>
      <c r="J82" s="25" t="s">
        <v>925</v>
      </c>
      <c r="K82" s="25"/>
      <c r="L82" s="25"/>
      <c r="M82" s="25"/>
      <c r="N82" s="25"/>
      <c r="O82" s="25"/>
      <c r="P82" s="25"/>
      <c r="Q82" s="25"/>
      <c r="R82" s="25"/>
      <c r="S82" s="25"/>
      <c r="T82" s="25"/>
      <c r="U82" s="25"/>
      <c r="V82" s="25"/>
      <c r="W82" s="25"/>
      <c r="X82" s="25"/>
      <c r="Y82" s="27" t="s">
        <v>77</v>
      </c>
      <c r="Z82" s="25" t="s">
        <v>926</v>
      </c>
      <c r="AA82" s="27" t="s">
        <v>77</v>
      </c>
      <c r="AB82" s="27"/>
      <c r="AC82" s="27"/>
      <c r="AD82" s="27"/>
      <c r="AE82" s="27"/>
      <c r="AF82" s="27"/>
      <c r="AG82" s="27"/>
      <c r="AH82" s="27"/>
      <c r="AI82" s="25"/>
    </row>
    <row r="83" spans="1:35">
      <c r="A83" s="24"/>
      <c r="B83" s="25"/>
      <c r="C83" s="25" t="s">
        <v>927</v>
      </c>
      <c r="D83" s="25" t="s">
        <v>928</v>
      </c>
      <c r="E83" s="25" t="s">
        <v>929</v>
      </c>
      <c r="F83" s="25">
        <v>2017</v>
      </c>
      <c r="G83" s="27"/>
      <c r="H83" s="27"/>
      <c r="I83" s="27"/>
      <c r="J83" s="25" t="s">
        <v>930</v>
      </c>
      <c r="K83" s="25"/>
      <c r="L83" s="25"/>
      <c r="M83" s="25"/>
      <c r="N83" s="25"/>
      <c r="O83" s="25"/>
      <c r="P83" s="25"/>
      <c r="Q83" s="25"/>
      <c r="R83" s="25"/>
      <c r="S83" s="25"/>
      <c r="T83" s="25"/>
      <c r="U83" s="25"/>
      <c r="V83" s="25"/>
      <c r="W83" s="25"/>
      <c r="X83" s="25"/>
      <c r="Y83" s="27" t="s">
        <v>58</v>
      </c>
      <c r="Z83" s="25" t="s">
        <v>786</v>
      </c>
      <c r="AA83" s="25" t="s">
        <v>408</v>
      </c>
      <c r="AB83" s="25" t="s">
        <v>550</v>
      </c>
      <c r="AC83" s="25" t="s">
        <v>728</v>
      </c>
      <c r="AD83" s="25" t="s">
        <v>931</v>
      </c>
      <c r="AE83" s="25" t="s">
        <v>932</v>
      </c>
      <c r="AF83" s="25" t="s">
        <v>933</v>
      </c>
      <c r="AG83" s="25" t="s">
        <v>66</v>
      </c>
      <c r="AH83" s="25">
        <v>0</v>
      </c>
      <c r="AI83" s="25"/>
    </row>
    <row r="84" spans="1:35">
      <c r="A84" s="24"/>
      <c r="B84" s="25"/>
      <c r="C84" s="25" t="s">
        <v>934</v>
      </c>
      <c r="D84" s="25" t="s">
        <v>935</v>
      </c>
      <c r="E84" s="25" t="s">
        <v>936</v>
      </c>
      <c r="F84" s="25">
        <v>2019</v>
      </c>
      <c r="G84" s="27"/>
      <c r="H84" s="27"/>
      <c r="I84" s="27"/>
      <c r="J84" s="25" t="s">
        <v>937</v>
      </c>
      <c r="K84" s="25"/>
      <c r="L84" s="25"/>
      <c r="M84" s="25"/>
      <c r="N84" s="25"/>
      <c r="O84" s="25"/>
      <c r="P84" s="25"/>
      <c r="Q84" s="25"/>
      <c r="R84" s="25"/>
      <c r="S84" s="25"/>
      <c r="T84" s="25"/>
      <c r="U84" s="25"/>
      <c r="V84" s="25"/>
      <c r="W84" s="25"/>
      <c r="X84" s="25"/>
      <c r="Y84" s="27" t="s">
        <v>58</v>
      </c>
      <c r="Z84" s="25" t="s">
        <v>938</v>
      </c>
      <c r="AA84" s="25" t="s">
        <v>408</v>
      </c>
      <c r="AB84" s="25" t="s">
        <v>1315</v>
      </c>
      <c r="AC84" s="25" t="s">
        <v>813</v>
      </c>
      <c r="AD84" s="25" t="s">
        <v>939</v>
      </c>
      <c r="AE84" s="25" t="s">
        <v>940</v>
      </c>
      <c r="AF84" s="25" t="s">
        <v>941</v>
      </c>
      <c r="AG84" s="25" t="s">
        <v>66</v>
      </c>
      <c r="AH84" s="25">
        <v>0</v>
      </c>
      <c r="AI84" s="25"/>
    </row>
    <row r="85" spans="1:35">
      <c r="A85" s="24"/>
      <c r="B85" s="25"/>
      <c r="C85" s="25" t="s">
        <v>942</v>
      </c>
      <c r="D85" s="25" t="s">
        <v>943</v>
      </c>
      <c r="E85" s="25" t="s">
        <v>944</v>
      </c>
      <c r="F85" s="25">
        <v>2019</v>
      </c>
      <c r="G85" s="27"/>
      <c r="H85" s="27"/>
      <c r="I85" s="27"/>
      <c r="J85" s="25" t="s">
        <v>945</v>
      </c>
      <c r="K85" s="25"/>
      <c r="L85" s="25"/>
      <c r="M85" s="25"/>
      <c r="N85" s="25"/>
      <c r="O85" s="25"/>
      <c r="P85" s="25"/>
      <c r="Q85" s="25"/>
      <c r="R85" s="25"/>
      <c r="S85" s="25"/>
      <c r="T85" s="25"/>
      <c r="U85" s="25"/>
      <c r="V85" s="25"/>
      <c r="W85" s="25"/>
      <c r="X85" s="25"/>
      <c r="Y85" s="27" t="s">
        <v>58</v>
      </c>
      <c r="Z85" s="25" t="s">
        <v>727</v>
      </c>
      <c r="AA85" s="25" t="s">
        <v>408</v>
      </c>
      <c r="AB85" s="25" t="s">
        <v>1315</v>
      </c>
      <c r="AC85" s="25" t="s">
        <v>946</v>
      </c>
      <c r="AD85" s="25" t="s">
        <v>947</v>
      </c>
      <c r="AE85" s="25" t="s">
        <v>940</v>
      </c>
      <c r="AF85" s="25" t="s">
        <v>948</v>
      </c>
      <c r="AG85" s="25" t="s">
        <v>66</v>
      </c>
      <c r="AH85" s="25">
        <v>1</v>
      </c>
      <c r="AI85" s="25" t="s">
        <v>949</v>
      </c>
    </row>
    <row r="86" spans="1:35">
      <c r="A86" s="24"/>
      <c r="B86" s="25"/>
      <c r="C86" s="25" t="s">
        <v>950</v>
      </c>
      <c r="D86" s="25" t="s">
        <v>951</v>
      </c>
      <c r="E86" s="25" t="s">
        <v>952</v>
      </c>
      <c r="F86" s="25">
        <v>2016</v>
      </c>
      <c r="G86" s="27"/>
      <c r="H86" s="27"/>
      <c r="I86" s="27"/>
      <c r="J86" s="25" t="s">
        <v>953</v>
      </c>
      <c r="K86" s="25"/>
      <c r="L86" s="25"/>
      <c r="M86" s="25"/>
      <c r="N86" s="25"/>
      <c r="O86" s="25"/>
      <c r="P86" s="25"/>
      <c r="Q86" s="25"/>
      <c r="R86" s="25"/>
      <c r="S86" s="25"/>
      <c r="T86" s="25"/>
      <c r="U86" s="25"/>
      <c r="V86" s="25"/>
      <c r="W86" s="25"/>
      <c r="X86" s="25"/>
      <c r="Y86" s="27" t="s">
        <v>44</v>
      </c>
      <c r="Z86" s="25" t="s">
        <v>954</v>
      </c>
      <c r="AA86" s="27" t="s">
        <v>44</v>
      </c>
      <c r="AB86" s="27"/>
      <c r="AC86" s="27"/>
      <c r="AD86" s="27"/>
      <c r="AE86" s="27"/>
      <c r="AF86" s="27"/>
      <c r="AG86" s="27"/>
      <c r="AH86" s="27"/>
      <c r="AI86" s="25"/>
    </row>
    <row r="87" spans="1:35">
      <c r="A87" s="24"/>
      <c r="B87" s="25"/>
      <c r="C87" s="25" t="s">
        <v>955</v>
      </c>
      <c r="D87" s="25" t="s">
        <v>956</v>
      </c>
      <c r="E87" s="25" t="s">
        <v>957</v>
      </c>
      <c r="F87" s="25">
        <v>2018</v>
      </c>
      <c r="G87" s="27"/>
      <c r="H87" s="27"/>
      <c r="I87" s="27"/>
      <c r="J87" s="25" t="s">
        <v>795</v>
      </c>
      <c r="K87" s="25"/>
      <c r="L87" s="25"/>
      <c r="M87" s="25"/>
      <c r="N87" s="25"/>
      <c r="O87" s="25"/>
      <c r="P87" s="25"/>
      <c r="Q87" s="25"/>
      <c r="R87" s="25"/>
      <c r="S87" s="25"/>
      <c r="T87" s="25"/>
      <c r="U87" s="25"/>
      <c r="V87" s="25"/>
      <c r="W87" s="25"/>
      <c r="X87" s="25"/>
      <c r="Y87" s="27" t="s">
        <v>44</v>
      </c>
      <c r="Z87" s="25" t="s">
        <v>802</v>
      </c>
      <c r="AA87" s="27" t="s">
        <v>44</v>
      </c>
      <c r="AB87" s="27"/>
      <c r="AC87" s="27"/>
      <c r="AD87" s="27"/>
      <c r="AE87" s="27"/>
      <c r="AF87" s="27"/>
      <c r="AG87" s="27"/>
      <c r="AH87" s="27"/>
      <c r="AI87" s="25"/>
    </row>
    <row r="88" spans="1:35">
      <c r="A88" s="24"/>
      <c r="B88" s="25"/>
      <c r="C88" s="25" t="s">
        <v>958</v>
      </c>
      <c r="D88" s="25" t="s">
        <v>959</v>
      </c>
      <c r="E88" s="25" t="s">
        <v>960</v>
      </c>
      <c r="F88" s="25">
        <v>2018</v>
      </c>
      <c r="G88" s="27"/>
      <c r="H88" s="27"/>
      <c r="I88" s="27"/>
      <c r="J88" s="25" t="s">
        <v>961</v>
      </c>
      <c r="K88" s="25"/>
      <c r="L88" s="25"/>
      <c r="M88" s="25"/>
      <c r="N88" s="25"/>
      <c r="O88" s="25"/>
      <c r="P88" s="25"/>
      <c r="Q88" s="25"/>
      <c r="R88" s="25"/>
      <c r="S88" s="25"/>
      <c r="T88" s="25"/>
      <c r="U88" s="25"/>
      <c r="V88" s="25"/>
      <c r="W88" s="25"/>
      <c r="X88" s="25"/>
      <c r="Y88" s="27" t="s">
        <v>77</v>
      </c>
      <c r="Z88" s="25" t="s">
        <v>926</v>
      </c>
      <c r="AA88" s="27" t="s">
        <v>77</v>
      </c>
      <c r="AB88" s="27"/>
      <c r="AC88" s="27"/>
      <c r="AD88" s="27"/>
      <c r="AE88" s="27"/>
      <c r="AF88" s="27"/>
      <c r="AG88" s="27"/>
      <c r="AH88" s="27"/>
      <c r="AI88" s="25"/>
    </row>
    <row r="89" spans="1:35">
      <c r="A89" s="24"/>
      <c r="B89" s="25"/>
      <c r="C89" s="25" t="s">
        <v>962</v>
      </c>
      <c r="D89" s="25" t="s">
        <v>963</v>
      </c>
      <c r="E89" s="25" t="s">
        <v>964</v>
      </c>
      <c r="F89" s="25">
        <v>2019</v>
      </c>
      <c r="G89" s="27"/>
      <c r="H89" s="27"/>
      <c r="I89" s="27"/>
      <c r="J89" s="25" t="s">
        <v>965</v>
      </c>
      <c r="K89" s="25"/>
      <c r="L89" s="25"/>
      <c r="M89" s="25"/>
      <c r="N89" s="25"/>
      <c r="O89" s="25"/>
      <c r="P89" s="25"/>
      <c r="Q89" s="25"/>
      <c r="R89" s="25"/>
      <c r="S89" s="25"/>
      <c r="T89" s="25"/>
      <c r="U89" s="25"/>
      <c r="V89" s="25"/>
      <c r="W89" s="25"/>
      <c r="X89" s="25"/>
      <c r="Y89" s="27" t="s">
        <v>58</v>
      </c>
      <c r="Z89" s="25" t="s">
        <v>727</v>
      </c>
      <c r="AA89" s="25" t="s">
        <v>966</v>
      </c>
      <c r="AB89" s="25" t="s">
        <v>1315</v>
      </c>
      <c r="AC89" s="25" t="s">
        <v>728</v>
      </c>
      <c r="AD89" s="25" t="s">
        <v>967</v>
      </c>
      <c r="AE89" s="25" t="s">
        <v>968</v>
      </c>
      <c r="AF89" s="25" t="s">
        <v>969</v>
      </c>
      <c r="AG89" s="25" t="s">
        <v>970</v>
      </c>
      <c r="AH89" s="25">
        <v>0.5</v>
      </c>
      <c r="AI89" s="25" t="s">
        <v>971</v>
      </c>
    </row>
    <row r="90" spans="1:35">
      <c r="A90" s="24"/>
      <c r="B90" s="25"/>
      <c r="C90" s="25" t="s">
        <v>972</v>
      </c>
      <c r="D90" s="25" t="s">
        <v>973</v>
      </c>
      <c r="E90" s="25" t="s">
        <v>974</v>
      </c>
      <c r="F90" s="25">
        <v>2019</v>
      </c>
      <c r="G90" s="27"/>
      <c r="H90" s="27"/>
      <c r="I90" s="27"/>
      <c r="J90" s="25" t="s">
        <v>975</v>
      </c>
      <c r="K90" s="25"/>
      <c r="L90" s="25"/>
      <c r="M90" s="25"/>
      <c r="N90" s="25"/>
      <c r="O90" s="25"/>
      <c r="P90" s="25"/>
      <c r="Q90" s="25"/>
      <c r="R90" s="25"/>
      <c r="S90" s="25"/>
      <c r="T90" s="25"/>
      <c r="U90" s="25"/>
      <c r="V90" s="25"/>
      <c r="W90" s="25"/>
      <c r="X90" s="25"/>
      <c r="Y90" s="27" t="s">
        <v>58</v>
      </c>
      <c r="Z90" s="25" t="s">
        <v>976</v>
      </c>
      <c r="AA90" s="25" t="s">
        <v>1368</v>
      </c>
      <c r="AB90" s="25" t="s">
        <v>977</v>
      </c>
      <c r="AC90" s="25" t="s">
        <v>728</v>
      </c>
      <c r="AD90" s="25" t="s">
        <v>978</v>
      </c>
      <c r="AE90" s="25" t="s">
        <v>979</v>
      </c>
      <c r="AF90" s="25" t="s">
        <v>870</v>
      </c>
      <c r="AG90" s="25" t="s">
        <v>980</v>
      </c>
      <c r="AH90" s="25">
        <v>0</v>
      </c>
      <c r="AI90" s="25"/>
    </row>
    <row r="91" spans="1:35">
      <c r="A91" s="24"/>
      <c r="B91" s="25"/>
      <c r="C91" s="25" t="s">
        <v>981</v>
      </c>
      <c r="D91" s="25" t="s">
        <v>943</v>
      </c>
      <c r="E91" s="25" t="s">
        <v>982</v>
      </c>
      <c r="F91" s="25">
        <v>2013</v>
      </c>
      <c r="G91" s="27"/>
      <c r="H91" s="27"/>
      <c r="I91" s="27"/>
      <c r="J91" s="25" t="s">
        <v>265</v>
      </c>
      <c r="K91" s="25"/>
      <c r="L91" s="25"/>
      <c r="M91" s="25"/>
      <c r="N91" s="25"/>
      <c r="O91" s="25"/>
      <c r="P91" s="25"/>
      <c r="Q91" s="25"/>
      <c r="R91" s="25"/>
      <c r="S91" s="25"/>
      <c r="T91" s="25"/>
      <c r="U91" s="25"/>
      <c r="V91" s="25"/>
      <c r="W91" s="25"/>
      <c r="X91" s="25"/>
      <c r="Y91" s="27" t="s">
        <v>58</v>
      </c>
      <c r="Z91" s="25" t="s">
        <v>983</v>
      </c>
      <c r="AA91" s="25" t="s">
        <v>90</v>
      </c>
      <c r="AB91" s="25" t="s">
        <v>1372</v>
      </c>
      <c r="AC91" s="25" t="s">
        <v>728</v>
      </c>
      <c r="AD91" s="25" t="s">
        <v>984</v>
      </c>
      <c r="AE91" s="25" t="s">
        <v>985</v>
      </c>
      <c r="AF91" s="25" t="s">
        <v>986</v>
      </c>
      <c r="AG91" s="25" t="s">
        <v>66</v>
      </c>
      <c r="AH91" s="25">
        <v>0</v>
      </c>
      <c r="AI91" s="25"/>
    </row>
    <row r="92" spans="1:35">
      <c r="A92" s="24"/>
      <c r="B92" s="25"/>
      <c r="C92" s="25" t="s">
        <v>987</v>
      </c>
      <c r="D92" s="25" t="s">
        <v>478</v>
      </c>
      <c r="E92" s="25" t="s">
        <v>988</v>
      </c>
      <c r="F92" s="25">
        <v>2016</v>
      </c>
      <c r="G92" s="27"/>
      <c r="H92" s="27"/>
      <c r="I92" s="27"/>
      <c r="J92" s="25" t="s">
        <v>989</v>
      </c>
      <c r="K92" s="25"/>
      <c r="L92" s="25"/>
      <c r="M92" s="25"/>
      <c r="N92" s="25"/>
      <c r="O92" s="25"/>
      <c r="P92" s="25"/>
      <c r="Q92" s="25"/>
      <c r="R92" s="25"/>
      <c r="S92" s="25"/>
      <c r="T92" s="25"/>
      <c r="U92" s="25"/>
      <c r="V92" s="25"/>
      <c r="W92" s="25"/>
      <c r="X92" s="25"/>
      <c r="Y92" s="27" t="s">
        <v>58</v>
      </c>
      <c r="Z92" s="25" t="s">
        <v>954</v>
      </c>
      <c r="AA92" s="25" t="s">
        <v>408</v>
      </c>
      <c r="AB92" s="25" t="s">
        <v>1315</v>
      </c>
      <c r="AC92" s="25" t="s">
        <v>728</v>
      </c>
      <c r="AD92" s="25" t="s">
        <v>990</v>
      </c>
      <c r="AE92" s="25" t="s">
        <v>991</v>
      </c>
      <c r="AF92" s="25" t="s">
        <v>992</v>
      </c>
      <c r="AG92" s="25" t="s">
        <v>993</v>
      </c>
      <c r="AH92" s="25">
        <v>0</v>
      </c>
      <c r="AI92" s="25"/>
    </row>
    <row r="93" spans="1:35">
      <c r="A93" s="24"/>
      <c r="B93" s="25"/>
      <c r="C93" s="25" t="s">
        <v>994</v>
      </c>
      <c r="D93" s="25" t="s">
        <v>995</v>
      </c>
      <c r="E93" s="25" t="s">
        <v>996</v>
      </c>
      <c r="F93" s="25">
        <v>2013</v>
      </c>
      <c r="G93" s="27"/>
      <c r="H93" s="27"/>
      <c r="I93" s="27"/>
      <c r="J93" s="25" t="s">
        <v>997</v>
      </c>
      <c r="K93" s="25"/>
      <c r="L93" s="25"/>
      <c r="M93" s="25"/>
      <c r="N93" s="25"/>
      <c r="O93" s="25"/>
      <c r="P93" s="25"/>
      <c r="Q93" s="25"/>
      <c r="R93" s="25"/>
      <c r="S93" s="25"/>
      <c r="T93" s="25"/>
      <c r="U93" s="25"/>
      <c r="V93" s="25"/>
      <c r="W93" s="25"/>
      <c r="X93" s="25"/>
      <c r="Y93" s="27" t="s">
        <v>44</v>
      </c>
      <c r="Z93" s="25" t="s">
        <v>998</v>
      </c>
      <c r="AA93" s="27" t="s">
        <v>999</v>
      </c>
      <c r="AB93" s="27"/>
      <c r="AC93" s="27"/>
      <c r="AD93" s="27"/>
      <c r="AE93" s="27"/>
      <c r="AF93" s="27"/>
      <c r="AG93" s="27"/>
      <c r="AH93" s="27"/>
      <c r="AI93" s="25"/>
    </row>
    <row r="94" spans="1:35">
      <c r="A94" s="24"/>
      <c r="B94" s="25"/>
      <c r="C94" s="25" t="s">
        <v>1000</v>
      </c>
      <c r="D94" s="25" t="s">
        <v>1001</v>
      </c>
      <c r="E94" s="25" t="s">
        <v>1002</v>
      </c>
      <c r="F94" s="25">
        <v>2014</v>
      </c>
      <c r="G94" s="27"/>
      <c r="H94" s="27"/>
      <c r="I94" s="27"/>
      <c r="J94" s="25" t="s">
        <v>1003</v>
      </c>
      <c r="K94" s="25"/>
      <c r="L94" s="25"/>
      <c r="M94" s="25"/>
      <c r="N94" s="25"/>
      <c r="O94" s="25"/>
      <c r="P94" s="25"/>
      <c r="Q94" s="25"/>
      <c r="R94" s="25"/>
      <c r="S94" s="25"/>
      <c r="T94" s="25"/>
      <c r="U94" s="25"/>
      <c r="V94" s="25"/>
      <c r="W94" s="25"/>
      <c r="X94" s="25"/>
      <c r="Y94" s="27" t="s">
        <v>58</v>
      </c>
      <c r="Z94" s="25" t="s">
        <v>1004</v>
      </c>
      <c r="AA94" s="25" t="s">
        <v>129</v>
      </c>
      <c r="AB94" s="25" t="s">
        <v>1387</v>
      </c>
      <c r="AC94" s="25" t="s">
        <v>813</v>
      </c>
      <c r="AD94" s="25" t="s">
        <v>1005</v>
      </c>
      <c r="AE94" s="25" t="s">
        <v>1006</v>
      </c>
      <c r="AF94" s="25" t="s">
        <v>1007</v>
      </c>
      <c r="AG94" s="25" t="s">
        <v>1008</v>
      </c>
      <c r="AH94" s="25">
        <v>0</v>
      </c>
      <c r="AI94" s="25"/>
    </row>
    <row r="95" spans="1:35">
      <c r="A95" s="24"/>
      <c r="B95" s="25"/>
      <c r="C95" s="25" t="s">
        <v>1009</v>
      </c>
      <c r="D95" s="25" t="s">
        <v>1010</v>
      </c>
      <c r="E95" s="25" t="s">
        <v>1011</v>
      </c>
      <c r="F95" s="25">
        <v>2017</v>
      </c>
      <c r="G95" s="27"/>
      <c r="H95" s="27"/>
      <c r="I95" s="27"/>
      <c r="J95" s="25" t="s">
        <v>1012</v>
      </c>
      <c r="K95" s="25"/>
      <c r="L95" s="25"/>
      <c r="M95" s="25"/>
      <c r="N95" s="25"/>
      <c r="O95" s="25"/>
      <c r="P95" s="25"/>
      <c r="Q95" s="25"/>
      <c r="R95" s="25"/>
      <c r="S95" s="25"/>
      <c r="T95" s="25"/>
      <c r="U95" s="25"/>
      <c r="V95" s="25"/>
      <c r="W95" s="25"/>
      <c r="X95" s="25"/>
      <c r="Y95" s="27" t="s">
        <v>77</v>
      </c>
      <c r="Z95" s="25" t="s">
        <v>1013</v>
      </c>
      <c r="AA95" s="27" t="s">
        <v>77</v>
      </c>
      <c r="AB95" s="27"/>
      <c r="AC95" s="27"/>
      <c r="AD95" s="27"/>
      <c r="AE95" s="27"/>
      <c r="AF95" s="27"/>
      <c r="AG95" s="27"/>
      <c r="AH95" s="27"/>
      <c r="AI95" s="25"/>
    </row>
    <row r="96" spans="1:35">
      <c r="A96">
        <v>42</v>
      </c>
      <c r="C96" t="s">
        <v>1014</v>
      </c>
      <c r="D96" t="s">
        <v>1015</v>
      </c>
      <c r="E96" t="s">
        <v>1016</v>
      </c>
      <c r="F96">
        <v>2018</v>
      </c>
      <c r="J96" t="s">
        <v>1017</v>
      </c>
      <c r="Y96" t="s">
        <v>58</v>
      </c>
      <c r="Z96" t="s">
        <v>1018</v>
      </c>
      <c r="AA96" t="s">
        <v>1368</v>
      </c>
      <c r="AB96" t="s">
        <v>1383</v>
      </c>
      <c r="AC96" t="s">
        <v>1019</v>
      </c>
      <c r="AD96" t="s">
        <v>1020</v>
      </c>
      <c r="AE96" t="s">
        <v>1021</v>
      </c>
      <c r="AF96" t="s">
        <v>1022</v>
      </c>
      <c r="AG96" t="s">
        <v>1023</v>
      </c>
      <c r="AH96">
        <v>0</v>
      </c>
      <c r="AI96" s="41" t="s">
        <v>1024</v>
      </c>
    </row>
    <row r="97" spans="1:35">
      <c r="A97">
        <v>128</v>
      </c>
      <c r="C97" t="s">
        <v>1025</v>
      </c>
      <c r="D97" t="s">
        <v>1026</v>
      </c>
      <c r="E97" t="s">
        <v>1027</v>
      </c>
      <c r="F97">
        <v>2020</v>
      </c>
      <c r="J97" t="s">
        <v>1028</v>
      </c>
      <c r="Y97" t="s">
        <v>58</v>
      </c>
      <c r="Z97" t="s">
        <v>1051</v>
      </c>
      <c r="AA97" t="s">
        <v>60</v>
      </c>
      <c r="AB97" t="s">
        <v>1383</v>
      </c>
      <c r="AC97" t="s">
        <v>1029</v>
      </c>
      <c r="AD97" t="s">
        <v>1030</v>
      </c>
      <c r="AE97" t="s">
        <v>1031</v>
      </c>
      <c r="AF97" t="s">
        <v>1032</v>
      </c>
      <c r="AG97" t="s">
        <v>66</v>
      </c>
      <c r="AH97">
        <v>0</v>
      </c>
    </row>
    <row r="98" spans="1:35">
      <c r="A98">
        <v>10</v>
      </c>
      <c r="C98" t="s">
        <v>1033</v>
      </c>
      <c r="D98" t="s">
        <v>1034</v>
      </c>
      <c r="E98" t="s">
        <v>1035</v>
      </c>
      <c r="F98">
        <v>2021</v>
      </c>
      <c r="J98" t="s">
        <v>1036</v>
      </c>
      <c r="Y98" t="s">
        <v>77</v>
      </c>
      <c r="Z98" t="s">
        <v>1037</v>
      </c>
      <c r="AA98" s="41" t="s">
        <v>1038</v>
      </c>
      <c r="AB98" s="41"/>
      <c r="AC98" s="41"/>
      <c r="AD98" s="41"/>
      <c r="AE98" s="41"/>
      <c r="AF98" s="41"/>
      <c r="AG98" s="41"/>
      <c r="AH98" s="41"/>
    </row>
    <row r="99" spans="1:35">
      <c r="A99">
        <v>130</v>
      </c>
      <c r="C99" t="s">
        <v>1039</v>
      </c>
      <c r="D99" t="s">
        <v>1040</v>
      </c>
      <c r="E99" t="s">
        <v>1041</v>
      </c>
      <c r="F99">
        <v>2013</v>
      </c>
      <c r="J99" t="s">
        <v>1042</v>
      </c>
      <c r="Y99" t="s">
        <v>58</v>
      </c>
      <c r="Z99" t="s">
        <v>1043</v>
      </c>
      <c r="AA99" t="s">
        <v>966</v>
      </c>
      <c r="AB99" t="s">
        <v>1388</v>
      </c>
      <c r="AD99" t="s">
        <v>1044</v>
      </c>
      <c r="AE99" t="s">
        <v>1045</v>
      </c>
      <c r="AF99" t="s">
        <v>1046</v>
      </c>
      <c r="AG99" t="s">
        <v>66</v>
      </c>
      <c r="AH99">
        <v>0</v>
      </c>
    </row>
    <row r="100" spans="1:35">
      <c r="A100">
        <v>131</v>
      </c>
      <c r="C100" t="s">
        <v>1047</v>
      </c>
      <c r="D100" t="s">
        <v>1048</v>
      </c>
      <c r="E100" t="s">
        <v>1049</v>
      </c>
      <c r="F100">
        <v>2013</v>
      </c>
      <c r="J100" t="s">
        <v>1050</v>
      </c>
      <c r="Y100" t="s">
        <v>58</v>
      </c>
      <c r="Z100" t="s">
        <v>1051</v>
      </c>
      <c r="AA100" t="s">
        <v>408</v>
      </c>
      <c r="AB100" t="s">
        <v>1383</v>
      </c>
      <c r="AC100" t="s">
        <v>1029</v>
      </c>
      <c r="AD100" t="s">
        <v>1052</v>
      </c>
      <c r="AE100" t="s">
        <v>1053</v>
      </c>
      <c r="AF100" t="s">
        <v>1054</v>
      </c>
      <c r="AG100" t="s">
        <v>1055</v>
      </c>
      <c r="AH100">
        <v>0</v>
      </c>
      <c r="AI100" t="s">
        <v>1056</v>
      </c>
    </row>
    <row r="101" spans="1:35">
      <c r="A101">
        <v>132</v>
      </c>
      <c r="C101" t="s">
        <v>1057</v>
      </c>
      <c r="D101" t="s">
        <v>1058</v>
      </c>
      <c r="E101" t="s">
        <v>1059</v>
      </c>
      <c r="F101">
        <v>2018</v>
      </c>
      <c r="J101" t="s">
        <v>1060</v>
      </c>
      <c r="Y101" t="s">
        <v>58</v>
      </c>
      <c r="Z101" t="s">
        <v>1051</v>
      </c>
      <c r="AA101" t="s">
        <v>1061</v>
      </c>
      <c r="AB101" t="s">
        <v>207</v>
      </c>
      <c r="AD101" t="s">
        <v>1052</v>
      </c>
      <c r="AE101" t="s">
        <v>1062</v>
      </c>
      <c r="AF101" t="s">
        <v>1063</v>
      </c>
      <c r="AG101" t="s">
        <v>66</v>
      </c>
      <c r="AH101">
        <v>0</v>
      </c>
    </row>
    <row r="102" spans="1:35">
      <c r="A102">
        <v>133</v>
      </c>
      <c r="C102" t="s">
        <v>1064</v>
      </c>
      <c r="D102" t="s">
        <v>459</v>
      </c>
      <c r="E102" t="s">
        <v>1065</v>
      </c>
      <c r="F102">
        <v>2021</v>
      </c>
      <c r="J102" t="s">
        <v>1066</v>
      </c>
      <c r="Y102" t="s">
        <v>58</v>
      </c>
      <c r="Z102" t="s">
        <v>1051</v>
      </c>
      <c r="AA102" t="s">
        <v>1067</v>
      </c>
      <c r="AB102" t="s">
        <v>1068</v>
      </c>
      <c r="AD102" t="s">
        <v>1069</v>
      </c>
      <c r="AE102" t="s">
        <v>1070</v>
      </c>
      <c r="AF102" t="s">
        <v>1071</v>
      </c>
      <c r="AG102" t="s">
        <v>1072</v>
      </c>
      <c r="AH102">
        <v>1</v>
      </c>
      <c r="AI102" t="s">
        <v>1073</v>
      </c>
    </row>
    <row r="103" spans="1:35">
      <c r="A103">
        <v>134</v>
      </c>
      <c r="C103" t="s">
        <v>1074</v>
      </c>
      <c r="D103" t="s">
        <v>1075</v>
      </c>
      <c r="E103" t="s">
        <v>1076</v>
      </c>
      <c r="F103">
        <v>2020</v>
      </c>
      <c r="J103" t="s">
        <v>1077</v>
      </c>
      <c r="Y103" t="s">
        <v>58</v>
      </c>
      <c r="Z103" t="s">
        <v>1051</v>
      </c>
      <c r="AA103" t="s">
        <v>1078</v>
      </c>
      <c r="AB103" t="s">
        <v>207</v>
      </c>
      <c r="AD103" t="s">
        <v>1079</v>
      </c>
      <c r="AE103" t="s">
        <v>1080</v>
      </c>
      <c r="AF103" t="s">
        <v>1081</v>
      </c>
      <c r="AG103" t="s">
        <v>66</v>
      </c>
      <c r="AH103">
        <v>1</v>
      </c>
      <c r="AI103" t="s">
        <v>1082</v>
      </c>
    </row>
    <row r="104" spans="1:35">
      <c r="A104">
        <v>135</v>
      </c>
      <c r="C104" t="s">
        <v>1083</v>
      </c>
      <c r="D104" t="s">
        <v>1084</v>
      </c>
      <c r="E104" t="s">
        <v>1085</v>
      </c>
      <c r="F104">
        <v>2022</v>
      </c>
      <c r="J104" t="s">
        <v>1086</v>
      </c>
      <c r="Y104" t="s">
        <v>58</v>
      </c>
      <c r="Z104" t="s">
        <v>1051</v>
      </c>
      <c r="AA104" t="s">
        <v>1087</v>
      </c>
      <c r="AB104" t="s">
        <v>207</v>
      </c>
      <c r="AD104" t="s">
        <v>1079</v>
      </c>
      <c r="AE104" t="s">
        <v>1088</v>
      </c>
      <c r="AF104" t="s">
        <v>1089</v>
      </c>
      <c r="AG104" t="s">
        <v>1090</v>
      </c>
      <c r="AH104">
        <v>1</v>
      </c>
      <c r="AI104" t="s">
        <v>1082</v>
      </c>
    </row>
    <row r="105" spans="1:35">
      <c r="A105">
        <v>136</v>
      </c>
      <c r="C105" t="s">
        <v>1091</v>
      </c>
      <c r="D105" t="s">
        <v>1092</v>
      </c>
      <c r="E105" t="s">
        <v>1093</v>
      </c>
      <c r="F105">
        <v>2019</v>
      </c>
      <c r="J105" t="s">
        <v>1094</v>
      </c>
      <c r="Y105" t="s">
        <v>58</v>
      </c>
      <c r="Z105" t="s">
        <v>1051</v>
      </c>
      <c r="AA105" t="s">
        <v>408</v>
      </c>
      <c r="AB105" t="s">
        <v>1383</v>
      </c>
      <c r="AC105" t="s">
        <v>1095</v>
      </c>
      <c r="AD105" t="s">
        <v>1079</v>
      </c>
      <c r="AF105" t="s">
        <v>1054</v>
      </c>
      <c r="AG105" t="s">
        <v>1096</v>
      </c>
      <c r="AH105">
        <v>0</v>
      </c>
    </row>
    <row r="106" spans="1:35">
      <c r="A106">
        <v>137</v>
      </c>
      <c r="C106" t="s">
        <v>1097</v>
      </c>
      <c r="D106" t="s">
        <v>1098</v>
      </c>
      <c r="E106" t="s">
        <v>1099</v>
      </c>
      <c r="F106">
        <v>2020</v>
      </c>
      <c r="J106" t="s">
        <v>1100</v>
      </c>
      <c r="Y106" t="s">
        <v>58</v>
      </c>
      <c r="Z106" t="s">
        <v>1051</v>
      </c>
      <c r="AA106" t="s">
        <v>408</v>
      </c>
      <c r="AB106" t="s">
        <v>91</v>
      </c>
      <c r="AD106" t="s">
        <v>1052</v>
      </c>
      <c r="AE106" t="s">
        <v>1101</v>
      </c>
      <c r="AF106" t="s">
        <v>1102</v>
      </c>
      <c r="AG106" t="s">
        <v>66</v>
      </c>
      <c r="AH106">
        <v>0</v>
      </c>
    </row>
    <row r="107" spans="1:35">
      <c r="A107">
        <v>104</v>
      </c>
      <c r="C107" t="s">
        <v>1103</v>
      </c>
      <c r="D107" t="s">
        <v>1104</v>
      </c>
      <c r="E107" t="s">
        <v>846</v>
      </c>
      <c r="F107">
        <v>2019</v>
      </c>
      <c r="J107" t="s">
        <v>1105</v>
      </c>
      <c r="Y107" t="s">
        <v>58</v>
      </c>
      <c r="Z107" t="s">
        <v>1051</v>
      </c>
      <c r="AA107" t="s">
        <v>408</v>
      </c>
      <c r="AB107" t="s">
        <v>1106</v>
      </c>
      <c r="AD107" t="s">
        <v>1052</v>
      </c>
      <c r="AE107" t="s">
        <v>1107</v>
      </c>
      <c r="AF107" t="s">
        <v>1316</v>
      </c>
      <c r="AG107" t="s">
        <v>66</v>
      </c>
      <c r="AH107">
        <v>0</v>
      </c>
    </row>
    <row r="108" spans="1:35">
      <c r="A108">
        <v>140</v>
      </c>
      <c r="C108" t="s">
        <v>1108</v>
      </c>
      <c r="D108" t="s">
        <v>1109</v>
      </c>
      <c r="E108" t="s">
        <v>1110</v>
      </c>
      <c r="F108">
        <v>2018</v>
      </c>
      <c r="J108" t="s">
        <v>1111</v>
      </c>
      <c r="Y108" t="s">
        <v>58</v>
      </c>
      <c r="Z108" t="s">
        <v>1018</v>
      </c>
      <c r="AA108" t="s">
        <v>1368</v>
      </c>
      <c r="AB108" t="s">
        <v>1383</v>
      </c>
      <c r="AC108" t="s">
        <v>1112</v>
      </c>
      <c r="AD108" t="s">
        <v>1113</v>
      </c>
      <c r="AE108" t="s">
        <v>1114</v>
      </c>
      <c r="AG108" t="s">
        <v>1115</v>
      </c>
      <c r="AH108">
        <v>0.5</v>
      </c>
      <c r="AI108" t="s">
        <v>1116</v>
      </c>
    </row>
    <row r="109" spans="1:35">
      <c r="A109">
        <v>141</v>
      </c>
      <c r="C109" t="s">
        <v>1117</v>
      </c>
      <c r="D109" t="s">
        <v>1118</v>
      </c>
      <c r="E109" t="s">
        <v>1119</v>
      </c>
      <c r="F109">
        <v>2021</v>
      </c>
      <c r="J109" t="s">
        <v>1120</v>
      </c>
      <c r="Y109" t="s">
        <v>58</v>
      </c>
      <c r="Z109" t="s">
        <v>1018</v>
      </c>
      <c r="AA109" t="s">
        <v>129</v>
      </c>
      <c r="AB109" t="s">
        <v>207</v>
      </c>
      <c r="AC109" t="s">
        <v>1112</v>
      </c>
      <c r="AD109" t="s">
        <v>1121</v>
      </c>
      <c r="AE109" t="s">
        <v>1122</v>
      </c>
      <c r="AF109" t="s">
        <v>1123</v>
      </c>
      <c r="AG109" t="s">
        <v>1124</v>
      </c>
      <c r="AH109">
        <v>1</v>
      </c>
      <c r="AI109" t="s">
        <v>1125</v>
      </c>
    </row>
    <row r="110" spans="1:35">
      <c r="A110">
        <v>142</v>
      </c>
      <c r="C110" t="s">
        <v>1126</v>
      </c>
      <c r="D110" t="s">
        <v>1127</v>
      </c>
      <c r="E110" t="s">
        <v>1128</v>
      </c>
      <c r="F110">
        <v>2016</v>
      </c>
      <c r="J110" t="s">
        <v>1129</v>
      </c>
      <c r="Y110" t="s">
        <v>58</v>
      </c>
      <c r="Z110" t="s">
        <v>1018</v>
      </c>
      <c r="AA110" t="s">
        <v>1369</v>
      </c>
      <c r="AB110" t="s">
        <v>409</v>
      </c>
      <c r="AD110" t="s">
        <v>1130</v>
      </c>
      <c r="AE110" t="s">
        <v>1131</v>
      </c>
      <c r="AG110" t="s">
        <v>1124</v>
      </c>
      <c r="AH110">
        <v>0</v>
      </c>
    </row>
    <row r="111" spans="1:35">
      <c r="A111">
        <v>143</v>
      </c>
      <c r="C111" t="s">
        <v>1132</v>
      </c>
      <c r="D111" t="s">
        <v>1133</v>
      </c>
      <c r="E111" t="s">
        <v>1134</v>
      </c>
      <c r="F111">
        <v>2017</v>
      </c>
      <c r="J111" t="s">
        <v>1135</v>
      </c>
      <c r="Y111" t="s">
        <v>58</v>
      </c>
      <c r="Z111" t="s">
        <v>1018</v>
      </c>
      <c r="AA111" t="s">
        <v>1370</v>
      </c>
      <c r="AB111" t="s">
        <v>409</v>
      </c>
      <c r="AD111" t="s">
        <v>1136</v>
      </c>
      <c r="AE111" t="s">
        <v>1137</v>
      </c>
      <c r="AF111" t="s">
        <v>1138</v>
      </c>
      <c r="AG111" t="s">
        <v>1124</v>
      </c>
      <c r="AH111">
        <v>0</v>
      </c>
    </row>
    <row r="112" spans="1:35">
      <c r="A112">
        <v>144</v>
      </c>
      <c r="C112" t="s">
        <v>1139</v>
      </c>
      <c r="D112" t="s">
        <v>1140</v>
      </c>
      <c r="E112" t="s">
        <v>1141</v>
      </c>
      <c r="F112">
        <v>2018</v>
      </c>
      <c r="J112" t="s">
        <v>1142</v>
      </c>
      <c r="Y112" t="s">
        <v>58</v>
      </c>
      <c r="Z112" t="s">
        <v>1051</v>
      </c>
      <c r="AA112" t="s">
        <v>408</v>
      </c>
      <c r="AB112" t="s">
        <v>1383</v>
      </c>
      <c r="AC112" t="s">
        <v>1143</v>
      </c>
      <c r="AD112" t="s">
        <v>1144</v>
      </c>
      <c r="AE112" t="s">
        <v>1145</v>
      </c>
      <c r="AF112" t="s">
        <v>1146</v>
      </c>
      <c r="AG112" t="s">
        <v>1147</v>
      </c>
      <c r="AH112">
        <v>1</v>
      </c>
      <c r="AI112" t="s">
        <v>1148</v>
      </c>
    </row>
    <row r="113" spans="1:35">
      <c r="A113">
        <v>146</v>
      </c>
      <c r="C113" t="s">
        <v>1149</v>
      </c>
      <c r="D113" t="s">
        <v>1150</v>
      </c>
      <c r="E113" t="s">
        <v>1151</v>
      </c>
      <c r="F113">
        <v>2017</v>
      </c>
      <c r="J113" t="s">
        <v>1152</v>
      </c>
      <c r="Y113" t="s">
        <v>58</v>
      </c>
      <c r="Z113" t="s">
        <v>1037</v>
      </c>
      <c r="AA113" t="s">
        <v>1153</v>
      </c>
      <c r="AB113" t="s">
        <v>207</v>
      </c>
      <c r="AE113" t="s">
        <v>1154</v>
      </c>
      <c r="AF113" t="s">
        <v>1155</v>
      </c>
      <c r="AG113" t="s">
        <v>717</v>
      </c>
      <c r="AH113">
        <v>0</v>
      </c>
    </row>
    <row r="114" spans="1:35">
      <c r="A114">
        <v>147</v>
      </c>
      <c r="C114" t="s">
        <v>1156</v>
      </c>
      <c r="D114" t="s">
        <v>1157</v>
      </c>
      <c r="E114" t="s">
        <v>1158</v>
      </c>
      <c r="F114">
        <v>2014</v>
      </c>
      <c r="J114" t="s">
        <v>1159</v>
      </c>
      <c r="Y114" t="s">
        <v>58</v>
      </c>
      <c r="Z114" t="s">
        <v>1051</v>
      </c>
      <c r="AA114" t="s">
        <v>1364</v>
      </c>
      <c r="AB114" t="s">
        <v>91</v>
      </c>
      <c r="AD114" t="s">
        <v>1160</v>
      </c>
      <c r="AE114" t="s">
        <v>1161</v>
      </c>
      <c r="AF114" t="s">
        <v>1162</v>
      </c>
      <c r="AG114" t="s">
        <v>1163</v>
      </c>
      <c r="AH114">
        <v>0</v>
      </c>
    </row>
    <row r="115" spans="1:35">
      <c r="A115">
        <v>148</v>
      </c>
      <c r="C115" t="s">
        <v>1164</v>
      </c>
      <c r="D115" t="s">
        <v>1165</v>
      </c>
      <c r="E115" t="s">
        <v>1166</v>
      </c>
      <c r="F115">
        <v>2014</v>
      </c>
      <c r="J115" t="s">
        <v>1167</v>
      </c>
      <c r="Y115" t="s">
        <v>58</v>
      </c>
      <c r="Z115" t="s">
        <v>1168</v>
      </c>
      <c r="AA115" t="s">
        <v>1169</v>
      </c>
      <c r="AB115" t="s">
        <v>91</v>
      </c>
      <c r="AD115" t="s">
        <v>1170</v>
      </c>
      <c r="AE115" t="s">
        <v>1171</v>
      </c>
      <c r="AF115" t="s">
        <v>1172</v>
      </c>
      <c r="AG115" t="s">
        <v>1173</v>
      </c>
      <c r="AH115">
        <v>0.5</v>
      </c>
      <c r="AI115" t="s">
        <v>1174</v>
      </c>
    </row>
    <row r="116" spans="1:35">
      <c r="A116">
        <v>149</v>
      </c>
      <c r="C116" t="s">
        <v>1175</v>
      </c>
      <c r="D116" t="s">
        <v>1176</v>
      </c>
      <c r="E116" t="s">
        <v>1177</v>
      </c>
      <c r="F116">
        <v>2018</v>
      </c>
      <c r="J116" t="s">
        <v>1178</v>
      </c>
      <c r="Y116" t="s">
        <v>58</v>
      </c>
      <c r="Z116" t="s">
        <v>1179</v>
      </c>
      <c r="AA116" t="s">
        <v>1169</v>
      </c>
      <c r="AB116" t="s">
        <v>91</v>
      </c>
      <c r="AD116" t="s">
        <v>1079</v>
      </c>
      <c r="AF116" t="s">
        <v>1180</v>
      </c>
      <c r="AG116" t="s">
        <v>66</v>
      </c>
      <c r="AH116">
        <v>0</v>
      </c>
      <c r="AI116" t="s">
        <v>1181</v>
      </c>
    </row>
    <row r="117" spans="1:35">
      <c r="A117">
        <v>150</v>
      </c>
      <c r="C117" t="s">
        <v>1182</v>
      </c>
      <c r="D117" t="s">
        <v>1183</v>
      </c>
      <c r="E117" t="s">
        <v>1184</v>
      </c>
      <c r="F117">
        <v>2023</v>
      </c>
      <c r="J117" t="s">
        <v>1185</v>
      </c>
      <c r="Y117" t="s">
        <v>58</v>
      </c>
      <c r="Z117" t="s">
        <v>1051</v>
      </c>
      <c r="AA117" t="s">
        <v>114</v>
      </c>
      <c r="AB117" t="s">
        <v>1186</v>
      </c>
      <c r="AD117" t="s">
        <v>1187</v>
      </c>
      <c r="AE117" t="s">
        <v>1188</v>
      </c>
      <c r="AF117" t="s">
        <v>1189</v>
      </c>
      <c r="AG117" t="s">
        <v>66</v>
      </c>
      <c r="AH117">
        <v>1</v>
      </c>
      <c r="AI117" t="s">
        <v>1190</v>
      </c>
    </row>
    <row r="118" spans="1:35">
      <c r="A118">
        <v>151</v>
      </c>
      <c r="C118" t="s">
        <v>1191</v>
      </c>
      <c r="D118" t="s">
        <v>1192</v>
      </c>
      <c r="E118" t="s">
        <v>1193</v>
      </c>
      <c r="F118">
        <v>2014</v>
      </c>
      <c r="J118" t="s">
        <v>1194</v>
      </c>
      <c r="Y118" t="s">
        <v>58</v>
      </c>
      <c r="Z118" t="s">
        <v>1051</v>
      </c>
      <c r="AA118" t="s">
        <v>142</v>
      </c>
      <c r="AB118" t="s">
        <v>1324</v>
      </c>
      <c r="AD118" t="s">
        <v>1052</v>
      </c>
      <c r="AE118" t="s">
        <v>1195</v>
      </c>
      <c r="AF118" t="s">
        <v>1196</v>
      </c>
      <c r="AG118" t="s">
        <v>66</v>
      </c>
      <c r="AH118">
        <v>0</v>
      </c>
      <c r="AI118" t="s">
        <v>1197</v>
      </c>
    </row>
    <row r="119" spans="1:35">
      <c r="A119">
        <v>152</v>
      </c>
      <c r="C119" t="s">
        <v>1198</v>
      </c>
      <c r="D119" t="s">
        <v>1199</v>
      </c>
      <c r="E119" t="s">
        <v>1200</v>
      </c>
      <c r="F119">
        <v>2015</v>
      </c>
      <c r="J119" t="s">
        <v>1201</v>
      </c>
      <c r="Y119" t="s">
        <v>58</v>
      </c>
      <c r="Z119" t="s">
        <v>1051</v>
      </c>
      <c r="AA119" t="s">
        <v>408</v>
      </c>
      <c r="AB119" t="s">
        <v>207</v>
      </c>
      <c r="AC119" t="s">
        <v>1202</v>
      </c>
      <c r="AD119" t="s">
        <v>1203</v>
      </c>
      <c r="AE119" t="s">
        <v>1204</v>
      </c>
      <c r="AF119" t="s">
        <v>1054</v>
      </c>
      <c r="AG119" t="s">
        <v>1205</v>
      </c>
      <c r="AH119">
        <v>0.5</v>
      </c>
      <c r="AI119" t="s">
        <v>1206</v>
      </c>
    </row>
    <row r="120" spans="1:35">
      <c r="A120">
        <v>154</v>
      </c>
      <c r="C120" t="s">
        <v>1207</v>
      </c>
      <c r="D120" t="s">
        <v>1208</v>
      </c>
      <c r="E120" t="s">
        <v>1209</v>
      </c>
      <c r="F120">
        <v>2021</v>
      </c>
      <c r="J120" t="s">
        <v>1210</v>
      </c>
      <c r="Y120" t="s">
        <v>58</v>
      </c>
      <c r="Z120" t="s">
        <v>1051</v>
      </c>
      <c r="AA120" t="s">
        <v>114</v>
      </c>
      <c r="AB120" t="s">
        <v>1211</v>
      </c>
      <c r="AD120" t="s">
        <v>1212</v>
      </c>
      <c r="AE120" t="s">
        <v>1213</v>
      </c>
      <c r="AF120" t="s">
        <v>1214</v>
      </c>
      <c r="AG120" t="s">
        <v>1215</v>
      </c>
      <c r="AH120">
        <v>0</v>
      </c>
      <c r="AI120" t="s">
        <v>1216</v>
      </c>
    </row>
    <row r="121" spans="1:35">
      <c r="A121">
        <v>155</v>
      </c>
      <c r="C121" t="s">
        <v>1217</v>
      </c>
      <c r="D121" t="s">
        <v>1218</v>
      </c>
      <c r="E121" t="s">
        <v>1219</v>
      </c>
      <c r="F121">
        <v>2024</v>
      </c>
      <c r="J121" t="s">
        <v>1220</v>
      </c>
      <c r="Y121" t="s">
        <v>58</v>
      </c>
      <c r="Z121" t="s">
        <v>1051</v>
      </c>
      <c r="AA121" t="s">
        <v>114</v>
      </c>
      <c r="AB121" t="s">
        <v>1221</v>
      </c>
      <c r="AD121" t="s">
        <v>1222</v>
      </c>
      <c r="AE121" t="s">
        <v>1223</v>
      </c>
      <c r="AF121" t="s">
        <v>1224</v>
      </c>
      <c r="AG121" t="s">
        <v>1225</v>
      </c>
      <c r="AH121">
        <v>0</v>
      </c>
      <c r="AI121" t="s">
        <v>1226</v>
      </c>
    </row>
    <row r="122" spans="1:35">
      <c r="A122">
        <v>156</v>
      </c>
      <c r="C122" t="s">
        <v>1227</v>
      </c>
      <c r="D122" t="s">
        <v>1228</v>
      </c>
      <c r="E122" t="s">
        <v>1229</v>
      </c>
      <c r="F122">
        <v>2022</v>
      </c>
      <c r="J122" t="s">
        <v>1230</v>
      </c>
      <c r="Y122" t="s">
        <v>58</v>
      </c>
      <c r="Z122" t="s">
        <v>1051</v>
      </c>
      <c r="AA122" t="s">
        <v>1231</v>
      </c>
      <c r="AB122" t="s">
        <v>409</v>
      </c>
      <c r="AD122" t="s">
        <v>1232</v>
      </c>
      <c r="AE122" t="s">
        <v>1233</v>
      </c>
      <c r="AF122" t="s">
        <v>1180</v>
      </c>
      <c r="AG122" t="s">
        <v>1205</v>
      </c>
      <c r="AH122">
        <v>0</v>
      </c>
      <c r="AI122" t="s">
        <v>1234</v>
      </c>
    </row>
    <row r="123" spans="1:35">
      <c r="A123">
        <v>158</v>
      </c>
      <c r="C123" t="s">
        <v>1235</v>
      </c>
      <c r="D123" t="s">
        <v>1236</v>
      </c>
      <c r="E123" t="s">
        <v>1237</v>
      </c>
      <c r="F123">
        <v>2020</v>
      </c>
      <c r="J123" t="s">
        <v>1238</v>
      </c>
      <c r="Y123" t="s">
        <v>58</v>
      </c>
      <c r="Z123" t="s">
        <v>1018</v>
      </c>
      <c r="AA123" t="s">
        <v>1368</v>
      </c>
      <c r="AB123" t="s">
        <v>1383</v>
      </c>
      <c r="AC123" t="s">
        <v>1143</v>
      </c>
      <c r="AD123" t="s">
        <v>1239</v>
      </c>
      <c r="AE123" t="s">
        <v>1240</v>
      </c>
      <c r="AG123" t="s">
        <v>1241</v>
      </c>
      <c r="AH123">
        <v>1</v>
      </c>
    </row>
    <row r="124" spans="1:35">
      <c r="A124">
        <v>159</v>
      </c>
      <c r="C124" t="s">
        <v>1242</v>
      </c>
      <c r="D124" t="s">
        <v>459</v>
      </c>
      <c r="E124" t="s">
        <v>1243</v>
      </c>
      <c r="F124">
        <v>2015</v>
      </c>
      <c r="J124" t="s">
        <v>1244</v>
      </c>
      <c r="Y124" t="s">
        <v>58</v>
      </c>
      <c r="Z124" t="s">
        <v>1051</v>
      </c>
      <c r="AA124" t="s">
        <v>60</v>
      </c>
      <c r="AB124" t="s">
        <v>91</v>
      </c>
      <c r="AC124" t="s">
        <v>1202</v>
      </c>
      <c r="AD124" t="s">
        <v>1052</v>
      </c>
      <c r="AE124" t="s">
        <v>1245</v>
      </c>
      <c r="AF124" t="s">
        <v>1180</v>
      </c>
      <c r="AG124" t="s">
        <v>66</v>
      </c>
      <c r="AH124">
        <v>0</v>
      </c>
    </row>
    <row r="125" spans="1:35">
      <c r="A125">
        <v>160</v>
      </c>
      <c r="C125" t="s">
        <v>1246</v>
      </c>
      <c r="D125" t="s">
        <v>496</v>
      </c>
      <c r="E125" t="s">
        <v>1247</v>
      </c>
      <c r="F125">
        <v>2016</v>
      </c>
      <c r="J125" t="s">
        <v>1248</v>
      </c>
      <c r="Y125" t="s">
        <v>58</v>
      </c>
      <c r="Z125" t="s">
        <v>1051</v>
      </c>
      <c r="AA125" t="s">
        <v>1365</v>
      </c>
      <c r="AB125" t="s">
        <v>1389</v>
      </c>
      <c r="AD125" t="s">
        <v>1052</v>
      </c>
      <c r="AE125" t="s">
        <v>1249</v>
      </c>
      <c r="AG125" t="s">
        <v>66</v>
      </c>
      <c r="AH125">
        <v>0.5</v>
      </c>
      <c r="AI125" t="s">
        <v>1250</v>
      </c>
    </row>
    <row r="126" spans="1:35">
      <c r="A126">
        <v>161</v>
      </c>
      <c r="C126" t="s">
        <v>1251</v>
      </c>
      <c r="D126" t="s">
        <v>459</v>
      </c>
      <c r="E126" t="s">
        <v>1252</v>
      </c>
      <c r="F126">
        <v>2022</v>
      </c>
      <c r="J126" t="s">
        <v>1253</v>
      </c>
      <c r="Y126" t="s">
        <v>58</v>
      </c>
      <c r="Z126" t="s">
        <v>1051</v>
      </c>
      <c r="AA126" t="s">
        <v>408</v>
      </c>
      <c r="AB126" t="s">
        <v>1254</v>
      </c>
      <c r="AD126" t="s">
        <v>1052</v>
      </c>
      <c r="AE126" t="s">
        <v>1255</v>
      </c>
      <c r="AF126" t="s">
        <v>1180</v>
      </c>
      <c r="AG126" t="s">
        <v>1256</v>
      </c>
      <c r="AH126">
        <v>1</v>
      </c>
      <c r="AI126" t="s">
        <v>1257</v>
      </c>
    </row>
  </sheetData>
  <hyperlinks>
    <hyperlink ref="L74" r:id="rId1" xr:uid="{073FBC12-AFC6-4AB8-B1AC-041E1C6D32FD}"/>
    <hyperlink ref="S74" r:id="rId2" xr:uid="{ECB91B0C-93F8-4183-8BB6-1A52A75B09AF}"/>
    <hyperlink ref="S73" r:id="rId3" xr:uid="{B92651B0-046F-4565-9F53-3C011F64EAE2}"/>
    <hyperlink ref="L73" r:id="rId4" xr:uid="{26B72259-26B0-4A20-BEA3-00A798AE8B21}"/>
    <hyperlink ref="S72" r:id="rId5" xr:uid="{1256D70F-F11A-4948-AD4A-E070FCB43055}"/>
    <hyperlink ref="L72" r:id="rId6" xr:uid="{F19E15FF-F671-4AF7-9AD3-0ED00DA3B81C}"/>
    <hyperlink ref="S71" r:id="rId7" xr:uid="{F50F2282-FFE6-4CF8-8104-9EDA046BCEC6}"/>
    <hyperlink ref="L75" r:id="rId8" xr:uid="{681DD9F4-24E5-4198-BE6E-DF3A6B75913F}"/>
    <hyperlink ref="S75" r:id="rId9" xr:uid="{693B675A-9DEC-44E6-88CB-FA84100C333C}"/>
    <hyperlink ref="L76" r:id="rId10" xr:uid="{A7201D7E-D878-4A40-9AF0-A4C4D25F88D7}"/>
    <hyperlink ref="S76" r:id="rId11" xr:uid="{F23C24B7-E321-4483-9E8D-69DF05063B53}"/>
    <hyperlink ref="L77" r:id="rId12" xr:uid="{2CEFFA6E-12AA-4EBE-9DFC-932753DD9B75}"/>
    <hyperlink ref="S77" r:id="rId13" xr:uid="{B67B72BE-3B15-4DAF-9BBD-5743C4B1F41C}"/>
    <hyperlink ref="L78" r:id="rId14" xr:uid="{29C09FF7-9705-4024-AD5A-66B194D28CE0}"/>
    <hyperlink ref="S78" r:id="rId15" xr:uid="{A07CCE2B-C6C0-42E3-B7D9-CC159BB5C399}"/>
    <hyperlink ref="L79" r:id="rId16" xr:uid="{0C4FBB64-AACE-449E-8DE2-0C9C5FC6EF8B}"/>
    <hyperlink ref="S79" r:id="rId17" xr:uid="{CD9BB42D-3DD3-4AA8-A545-1A4D0D03396E}"/>
    <hyperlink ref="L80" r:id="rId18" xr:uid="{4CBCFCB2-23D2-40E7-89EC-92BF011ACFC2}"/>
    <hyperlink ref="S80" r:id="rId19" xr:uid="{55B5C34A-CCA0-49CC-B986-0347D4A731CC}"/>
    <hyperlink ref="L81" r:id="rId20" xr:uid="{08DA2D17-3BA7-44F3-952F-8F0BAA14B44E}"/>
    <hyperlink ref="S81" r:id="rId21" xr:uid="{8B155314-2A9A-42AB-BB10-242BE0B2D303}"/>
    <hyperlink ref="AD69" r:id="rId22" xr:uid="{0313BC86-3A7F-47FE-83D2-53751ECF0006}"/>
  </hyperlinks>
  <pageMargins left="0.7" right="0.7" top="0.75" bottom="0.75" header="0.3" footer="0.3"/>
  <tableParts count="1">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03011-4926-48DA-9FA6-CCECBB8AE073}">
  <dimension ref="A1"/>
  <sheetViews>
    <sheetView workbookViewId="0"/>
  </sheetViews>
  <sheetFormatPr defaultRowHeight="15.6"/>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90148-23A2-4193-A1D6-FE2CB6ADD788}">
  <dimension ref="A1:E15"/>
  <sheetViews>
    <sheetView workbookViewId="0"/>
  </sheetViews>
  <sheetFormatPr defaultRowHeight="15.6"/>
  <cols>
    <col min="2" max="2" width="10.5" customWidth="1"/>
    <col min="3" max="3" width="13.59765625" bestFit="1" customWidth="1"/>
    <col min="4" max="4" width="10.69921875" bestFit="1" customWidth="1"/>
    <col min="5" max="5" width="13.5" bestFit="1" customWidth="1"/>
  </cols>
  <sheetData>
    <row r="1" spans="1:5">
      <c r="A1" t="s">
        <v>1258</v>
      </c>
      <c r="B1" t="s">
        <v>1261</v>
      </c>
      <c r="C1" t="s">
        <v>1260</v>
      </c>
      <c r="D1" t="s">
        <v>1018</v>
      </c>
      <c r="E1" t="s">
        <v>1051</v>
      </c>
    </row>
    <row r="2" spans="1:5">
      <c r="A2">
        <v>2013</v>
      </c>
      <c r="B2">
        <v>5</v>
      </c>
      <c r="C2">
        <v>1</v>
      </c>
      <c r="D2">
        <v>2</v>
      </c>
      <c r="E2">
        <v>4</v>
      </c>
    </row>
    <row r="3" spans="1:5">
      <c r="A3">
        <v>2014</v>
      </c>
      <c r="B3">
        <v>7</v>
      </c>
      <c r="C3">
        <v>0</v>
      </c>
      <c r="D3">
        <v>2</v>
      </c>
      <c r="E3">
        <v>6</v>
      </c>
    </row>
    <row r="4" spans="1:5">
      <c r="A4">
        <v>2015</v>
      </c>
      <c r="B4">
        <v>8</v>
      </c>
      <c r="C4">
        <v>0</v>
      </c>
      <c r="D4">
        <v>0</v>
      </c>
      <c r="E4">
        <v>8</v>
      </c>
    </row>
    <row r="5" spans="1:5">
      <c r="A5">
        <v>2016</v>
      </c>
      <c r="B5">
        <v>9</v>
      </c>
      <c r="C5">
        <v>0</v>
      </c>
      <c r="D5">
        <v>2</v>
      </c>
      <c r="E5">
        <v>7</v>
      </c>
    </row>
    <row r="6" spans="1:5">
      <c r="A6">
        <v>2017</v>
      </c>
      <c r="B6">
        <v>7</v>
      </c>
      <c r="C6">
        <v>0</v>
      </c>
      <c r="D6">
        <v>3</v>
      </c>
      <c r="E6">
        <v>6</v>
      </c>
    </row>
    <row r="7" spans="1:5">
      <c r="A7">
        <v>2018</v>
      </c>
      <c r="B7">
        <v>13</v>
      </c>
      <c r="C7">
        <v>0</v>
      </c>
      <c r="D7">
        <v>4</v>
      </c>
      <c r="E7">
        <v>8</v>
      </c>
    </row>
    <row r="8" spans="1:5">
      <c r="A8">
        <v>2019</v>
      </c>
      <c r="B8">
        <v>13</v>
      </c>
      <c r="C8">
        <v>0</v>
      </c>
      <c r="D8">
        <v>2</v>
      </c>
      <c r="E8">
        <v>12</v>
      </c>
    </row>
    <row r="9" spans="1:5">
      <c r="A9">
        <v>2020</v>
      </c>
      <c r="B9">
        <v>7</v>
      </c>
      <c r="C9">
        <v>0</v>
      </c>
      <c r="D9">
        <v>1</v>
      </c>
      <c r="E9">
        <v>6</v>
      </c>
    </row>
    <row r="10" spans="1:5">
      <c r="A10">
        <v>2021</v>
      </c>
      <c r="B10">
        <v>7</v>
      </c>
      <c r="C10">
        <v>0</v>
      </c>
      <c r="D10">
        <v>1</v>
      </c>
      <c r="E10">
        <v>6</v>
      </c>
    </row>
    <row r="11" spans="1:5">
      <c r="A11">
        <v>2022</v>
      </c>
      <c r="B11">
        <v>17</v>
      </c>
      <c r="C11">
        <v>1</v>
      </c>
      <c r="D11">
        <v>1</v>
      </c>
      <c r="E11">
        <v>17</v>
      </c>
    </row>
    <row r="12" spans="1:5">
      <c r="A12">
        <v>2023</v>
      </c>
      <c r="B12">
        <v>9</v>
      </c>
      <c r="C12">
        <v>0</v>
      </c>
      <c r="D12">
        <v>2</v>
      </c>
      <c r="E12">
        <v>7</v>
      </c>
    </row>
    <row r="13" spans="1:5">
      <c r="A13">
        <v>2024</v>
      </c>
      <c r="B13">
        <v>7</v>
      </c>
      <c r="C13">
        <v>1</v>
      </c>
      <c r="D13">
        <v>1</v>
      </c>
      <c r="E13">
        <v>5</v>
      </c>
    </row>
    <row r="14" spans="1:5">
      <c r="A14">
        <v>2025</v>
      </c>
      <c r="B14">
        <v>1</v>
      </c>
      <c r="C14">
        <v>0</v>
      </c>
      <c r="D14">
        <v>1</v>
      </c>
      <c r="E14">
        <v>0</v>
      </c>
    </row>
    <row r="15" spans="1:5">
      <c r="A15" t="s">
        <v>1409</v>
      </c>
      <c r="B15">
        <f>SUBTOTAL(109,Table2[Totale_PS])</f>
        <v>110</v>
      </c>
      <c r="C15">
        <f>SUBTOTAL(109,Table2[Minimization])</f>
        <v>3</v>
      </c>
      <c r="D15">
        <f>SUBTOTAL(109,Table2[Selection])</f>
        <v>22</v>
      </c>
      <c r="E15">
        <f>SUBTOTAL(109,Table2[Prioritization])</f>
        <v>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84B76-726E-4128-BAFC-133CC56F4C2B}">
  <dimension ref="A7:C17"/>
  <sheetViews>
    <sheetView tabSelected="1" topLeftCell="A7" workbookViewId="0">
      <selection activeCell="C25" sqref="C25"/>
    </sheetView>
  </sheetViews>
  <sheetFormatPr defaultRowHeight="15.6"/>
  <cols>
    <col min="1" max="1" width="9.796875" bestFit="1" customWidth="1"/>
  </cols>
  <sheetData>
    <row r="7" spans="1:3">
      <c r="A7" t="s">
        <v>1419</v>
      </c>
      <c r="B7" t="s">
        <v>1420</v>
      </c>
      <c r="C7" t="s">
        <v>1403</v>
      </c>
    </row>
    <row r="8" spans="1:3">
      <c r="A8" t="s">
        <v>44</v>
      </c>
      <c r="B8">
        <v>1</v>
      </c>
      <c r="C8">
        <v>5</v>
      </c>
    </row>
    <row r="9" spans="1:3">
      <c r="A9" t="s">
        <v>44</v>
      </c>
      <c r="B9">
        <v>0.8</v>
      </c>
      <c r="C9">
        <v>2</v>
      </c>
    </row>
    <row r="10" spans="1:3">
      <c r="A10" t="s">
        <v>44</v>
      </c>
      <c r="B10">
        <v>0.5</v>
      </c>
      <c r="C10">
        <v>1</v>
      </c>
    </row>
    <row r="11" spans="1:3">
      <c r="A11" t="s">
        <v>77</v>
      </c>
      <c r="B11">
        <v>1</v>
      </c>
      <c r="C11">
        <v>4</v>
      </c>
    </row>
    <row r="12" spans="1:3">
      <c r="A12" t="s">
        <v>77</v>
      </c>
      <c r="B12">
        <v>0.8</v>
      </c>
      <c r="C12">
        <v>2</v>
      </c>
    </row>
    <row r="13" spans="1:3">
      <c r="A13" t="s">
        <v>77</v>
      </c>
      <c r="B13">
        <v>0.5</v>
      </c>
      <c r="C13">
        <v>1</v>
      </c>
    </row>
    <row r="14" spans="1:3">
      <c r="A14" t="s">
        <v>58</v>
      </c>
      <c r="B14">
        <v>1</v>
      </c>
      <c r="C14">
        <v>60</v>
      </c>
    </row>
    <row r="15" spans="1:3">
      <c r="A15" t="s">
        <v>58</v>
      </c>
      <c r="B15">
        <v>0.8</v>
      </c>
      <c r="C15">
        <v>24</v>
      </c>
    </row>
    <row r="16" spans="1:3">
      <c r="A16" t="s">
        <v>58</v>
      </c>
      <c r="B16">
        <v>0.5</v>
      </c>
      <c r="C16">
        <v>17</v>
      </c>
    </row>
    <row r="17" spans="1:3">
      <c r="A17" t="s">
        <v>58</v>
      </c>
      <c r="B17">
        <v>0.4</v>
      </c>
      <c r="C17">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ACA0-5BAF-4CF3-A9BA-46A30A6E0A57}">
  <dimension ref="A1:D14"/>
  <sheetViews>
    <sheetView workbookViewId="0">
      <selection activeCell="B12" sqref="B12:D12"/>
    </sheetView>
  </sheetViews>
  <sheetFormatPr defaultRowHeight="15.6"/>
  <sheetData>
    <row r="1" spans="1:4">
      <c r="A1" t="s">
        <v>1258</v>
      </c>
      <c r="B1" t="s">
        <v>1411</v>
      </c>
      <c r="C1" t="s">
        <v>1412</v>
      </c>
      <c r="D1" t="s">
        <v>1413</v>
      </c>
    </row>
    <row r="2" spans="1:4">
      <c r="A2">
        <v>2013</v>
      </c>
      <c r="B2">
        <v>4</v>
      </c>
      <c r="C2">
        <v>1</v>
      </c>
      <c r="D2">
        <v>0</v>
      </c>
    </row>
    <row r="3" spans="1:4">
      <c r="A3">
        <v>2014</v>
      </c>
      <c r="B3">
        <v>4</v>
      </c>
      <c r="C3">
        <v>3</v>
      </c>
      <c r="D3">
        <v>0</v>
      </c>
    </row>
    <row r="4" spans="1:4">
      <c r="A4">
        <v>2015</v>
      </c>
      <c r="B4">
        <v>3</v>
      </c>
      <c r="C4">
        <v>5</v>
      </c>
      <c r="D4">
        <v>0</v>
      </c>
    </row>
    <row r="5" spans="1:4">
      <c r="A5">
        <v>2016</v>
      </c>
      <c r="B5">
        <v>4</v>
      </c>
      <c r="C5">
        <v>4</v>
      </c>
      <c r="D5">
        <v>1</v>
      </c>
    </row>
    <row r="6" spans="1:4">
      <c r="A6">
        <v>2017</v>
      </c>
      <c r="B6">
        <v>6</v>
      </c>
      <c r="C6">
        <v>0</v>
      </c>
      <c r="D6">
        <v>1</v>
      </c>
    </row>
    <row r="7" spans="1:4">
      <c r="A7">
        <v>2018</v>
      </c>
      <c r="B7">
        <v>7</v>
      </c>
      <c r="C7">
        <v>4</v>
      </c>
      <c r="D7">
        <v>2</v>
      </c>
    </row>
    <row r="8" spans="1:4">
      <c r="A8">
        <v>2019</v>
      </c>
      <c r="B8">
        <v>8</v>
      </c>
      <c r="C8">
        <v>4</v>
      </c>
      <c r="D8">
        <v>1</v>
      </c>
    </row>
    <row r="9" spans="1:4">
      <c r="A9">
        <v>2020</v>
      </c>
      <c r="B9">
        <v>4</v>
      </c>
      <c r="C9">
        <v>0</v>
      </c>
      <c r="D9">
        <v>3</v>
      </c>
    </row>
    <row r="10" spans="1:4">
      <c r="A10">
        <v>2021</v>
      </c>
      <c r="B10">
        <v>2</v>
      </c>
      <c r="C10">
        <v>2</v>
      </c>
      <c r="D10">
        <v>3</v>
      </c>
    </row>
    <row r="11" spans="1:4">
      <c r="A11">
        <v>2022</v>
      </c>
      <c r="B11">
        <v>7</v>
      </c>
      <c r="C11">
        <v>6</v>
      </c>
      <c r="D11">
        <v>4</v>
      </c>
    </row>
    <row r="12" spans="1:4">
      <c r="A12">
        <v>2023</v>
      </c>
      <c r="B12">
        <v>3</v>
      </c>
      <c r="C12">
        <v>2</v>
      </c>
      <c r="D12">
        <v>4</v>
      </c>
    </row>
    <row r="13" spans="1:4">
      <c r="A13">
        <v>2024</v>
      </c>
      <c r="B13">
        <v>2</v>
      </c>
      <c r="C13">
        <v>2</v>
      </c>
      <c r="D13">
        <v>3</v>
      </c>
    </row>
    <row r="14" spans="1:4">
      <c r="A14">
        <v>2025</v>
      </c>
      <c r="B14">
        <v>0</v>
      </c>
      <c r="C14">
        <v>1</v>
      </c>
      <c r="D14">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C6C15-2C38-4F0A-BF61-EE73FED61ED7}">
  <dimension ref="A1:G11"/>
  <sheetViews>
    <sheetView workbookViewId="0">
      <selection activeCell="B11" sqref="B10:G11"/>
    </sheetView>
  </sheetViews>
  <sheetFormatPr defaultRowHeight="15.6"/>
  <cols>
    <col min="1" max="1" width="19.3984375" bestFit="1" customWidth="1"/>
    <col min="2" max="2" width="16.296875" bestFit="1" customWidth="1"/>
    <col min="3" max="3" width="21" bestFit="1" customWidth="1"/>
    <col min="4" max="4" width="13" customWidth="1"/>
    <col min="5" max="5" width="20.796875" customWidth="1"/>
    <col min="6" max="6" width="11" bestFit="1" customWidth="1"/>
    <col min="7" max="7" width="8.8984375" bestFit="1" customWidth="1"/>
  </cols>
  <sheetData>
    <row r="1" spans="1:7">
      <c r="A1" t="s">
        <v>1378</v>
      </c>
      <c r="B1" t="s">
        <v>91</v>
      </c>
      <c r="C1" t="s">
        <v>1410</v>
      </c>
      <c r="D1" t="s">
        <v>1345</v>
      </c>
      <c r="E1" t="s">
        <v>1347</v>
      </c>
      <c r="F1" t="s">
        <v>207</v>
      </c>
      <c r="G1" t="s">
        <v>1346</v>
      </c>
    </row>
    <row r="2" spans="1:7">
      <c r="A2" t="s">
        <v>408</v>
      </c>
      <c r="B2">
        <v>12</v>
      </c>
      <c r="C2">
        <v>12</v>
      </c>
      <c r="D2">
        <v>3</v>
      </c>
      <c r="E2">
        <v>0</v>
      </c>
      <c r="F2">
        <v>5</v>
      </c>
      <c r="G2">
        <v>15</v>
      </c>
    </row>
    <row r="3" spans="1:7">
      <c r="A3" t="s">
        <v>90</v>
      </c>
      <c r="B3">
        <v>4</v>
      </c>
      <c r="C3">
        <v>1</v>
      </c>
      <c r="D3">
        <v>0</v>
      </c>
      <c r="E3">
        <v>0</v>
      </c>
      <c r="F3">
        <v>2</v>
      </c>
      <c r="G3">
        <v>0</v>
      </c>
    </row>
    <row r="4" spans="1:7">
      <c r="A4" t="s">
        <v>142</v>
      </c>
      <c r="B4">
        <v>1</v>
      </c>
      <c r="C4">
        <v>0</v>
      </c>
      <c r="D4">
        <v>0</v>
      </c>
      <c r="E4">
        <v>0</v>
      </c>
      <c r="F4">
        <v>6</v>
      </c>
      <c r="G4">
        <v>0</v>
      </c>
    </row>
    <row r="5" spans="1:7">
      <c r="A5" t="s">
        <v>1319</v>
      </c>
      <c r="B5">
        <v>3</v>
      </c>
      <c r="C5">
        <v>0</v>
      </c>
      <c r="D5">
        <v>0</v>
      </c>
      <c r="E5">
        <v>0</v>
      </c>
      <c r="F5">
        <v>3</v>
      </c>
      <c r="G5">
        <v>0</v>
      </c>
    </row>
    <row r="6" spans="1:7">
      <c r="A6" t="s">
        <v>1380</v>
      </c>
      <c r="B6">
        <v>0</v>
      </c>
      <c r="C6">
        <v>0</v>
      </c>
      <c r="D6">
        <v>0</v>
      </c>
      <c r="E6">
        <v>0</v>
      </c>
      <c r="F6">
        <v>2</v>
      </c>
      <c r="G6">
        <v>0</v>
      </c>
    </row>
    <row r="7" spans="1:7">
      <c r="A7" t="s">
        <v>1320</v>
      </c>
      <c r="B7">
        <v>2</v>
      </c>
      <c r="C7">
        <v>0</v>
      </c>
      <c r="D7">
        <v>0</v>
      </c>
      <c r="E7">
        <v>0</v>
      </c>
      <c r="F7">
        <v>0</v>
      </c>
      <c r="G7">
        <v>0</v>
      </c>
    </row>
    <row r="8" spans="1:7">
      <c r="A8" t="s">
        <v>114</v>
      </c>
      <c r="B8">
        <v>11</v>
      </c>
      <c r="C8">
        <v>1</v>
      </c>
      <c r="D8">
        <v>1</v>
      </c>
      <c r="E8">
        <v>0</v>
      </c>
      <c r="F8">
        <v>10</v>
      </c>
      <c r="G8">
        <v>0</v>
      </c>
    </row>
    <row r="9" spans="1:7">
      <c r="A9" t="s">
        <v>60</v>
      </c>
      <c r="B9">
        <v>2</v>
      </c>
      <c r="C9">
        <v>2</v>
      </c>
      <c r="D9">
        <v>2</v>
      </c>
      <c r="E9">
        <v>0</v>
      </c>
      <c r="F9">
        <v>0</v>
      </c>
      <c r="G9">
        <v>1</v>
      </c>
    </row>
    <row r="10" spans="1:7">
      <c r="A10" t="s">
        <v>1321</v>
      </c>
      <c r="B10">
        <v>2</v>
      </c>
      <c r="C10">
        <v>2</v>
      </c>
      <c r="D10">
        <v>1</v>
      </c>
      <c r="E10">
        <v>0</v>
      </c>
      <c r="F10">
        <v>1</v>
      </c>
      <c r="G10">
        <v>0</v>
      </c>
    </row>
    <row r="11" spans="1:7">
      <c r="A11" t="s">
        <v>966</v>
      </c>
      <c r="B11">
        <v>1</v>
      </c>
      <c r="C11">
        <v>1</v>
      </c>
      <c r="D11">
        <v>0</v>
      </c>
      <c r="E11">
        <v>0</v>
      </c>
      <c r="F11">
        <v>3</v>
      </c>
      <c r="G11">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5C8F-316F-4046-A284-28124FE5A655}">
  <dimension ref="A1:G5"/>
  <sheetViews>
    <sheetView workbookViewId="0">
      <selection activeCell="C5" sqref="C5:G5"/>
    </sheetView>
  </sheetViews>
  <sheetFormatPr defaultRowHeight="15.6"/>
  <cols>
    <col min="1" max="1" width="19.5" bestFit="1" customWidth="1"/>
    <col min="2" max="2" width="9.796875" customWidth="1"/>
    <col min="3" max="3" width="14.296875" customWidth="1"/>
    <col min="4" max="4" width="13" customWidth="1"/>
    <col min="5" max="5" width="20.796875" customWidth="1"/>
    <col min="6" max="6" width="10.3984375" customWidth="1"/>
  </cols>
  <sheetData>
    <row r="1" spans="1:7">
      <c r="A1" t="s">
        <v>1378</v>
      </c>
      <c r="B1" t="s">
        <v>409</v>
      </c>
      <c r="C1" t="s">
        <v>1384</v>
      </c>
      <c r="D1" t="s">
        <v>1345</v>
      </c>
      <c r="E1" t="s">
        <v>1347</v>
      </c>
      <c r="F1" t="s">
        <v>207</v>
      </c>
      <c r="G1" t="s">
        <v>1346</v>
      </c>
    </row>
    <row r="2" spans="1:7">
      <c r="A2" t="s">
        <v>1326</v>
      </c>
      <c r="B2">
        <v>0</v>
      </c>
      <c r="C2">
        <v>4</v>
      </c>
      <c r="D2">
        <v>0</v>
      </c>
      <c r="E2">
        <v>1</v>
      </c>
      <c r="F2">
        <v>0</v>
      </c>
      <c r="G2">
        <v>0</v>
      </c>
    </row>
    <row r="3" spans="1:7">
      <c r="A3" t="s">
        <v>868</v>
      </c>
      <c r="B3">
        <v>0</v>
      </c>
      <c r="C3">
        <v>1</v>
      </c>
      <c r="D3">
        <v>2</v>
      </c>
      <c r="E3">
        <v>0</v>
      </c>
      <c r="F3">
        <v>0</v>
      </c>
      <c r="G3">
        <v>0</v>
      </c>
    </row>
    <row r="4" spans="1:7">
      <c r="A4" t="s">
        <v>129</v>
      </c>
      <c r="B4">
        <v>2</v>
      </c>
      <c r="C4">
        <v>1</v>
      </c>
      <c r="D4">
        <v>0</v>
      </c>
      <c r="E4">
        <v>0</v>
      </c>
      <c r="F4">
        <v>1</v>
      </c>
      <c r="G4">
        <v>1</v>
      </c>
    </row>
    <row r="5" spans="1:7">
      <c r="A5" t="s">
        <v>1325</v>
      </c>
      <c r="B5">
        <v>2</v>
      </c>
      <c r="C5">
        <v>0</v>
      </c>
      <c r="D5">
        <v>0</v>
      </c>
      <c r="E5">
        <v>0</v>
      </c>
      <c r="F5">
        <v>0</v>
      </c>
      <c r="G5">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23CA-A17F-4A62-9AC4-DA1175EB60E4}">
  <dimension ref="A1:E11"/>
  <sheetViews>
    <sheetView workbookViewId="0">
      <selection activeCell="B4" sqref="B4"/>
    </sheetView>
  </sheetViews>
  <sheetFormatPr defaultRowHeight="15.6"/>
  <cols>
    <col min="1" max="1" width="10.69921875" bestFit="1" customWidth="1"/>
    <col min="2" max="2" width="19.796875" bestFit="1" customWidth="1"/>
    <col min="3" max="3" width="8" bestFit="1" customWidth="1"/>
  </cols>
  <sheetData>
    <row r="1" spans="1:5">
      <c r="A1" t="s">
        <v>1414</v>
      </c>
      <c r="B1" t="s">
        <v>1416</v>
      </c>
      <c r="C1" t="s">
        <v>1415</v>
      </c>
      <c r="E1" s="37"/>
    </row>
    <row r="2" spans="1:5">
      <c r="A2" t="s">
        <v>1051</v>
      </c>
      <c r="B2" t="s">
        <v>47</v>
      </c>
      <c r="C2">
        <v>18</v>
      </c>
    </row>
    <row r="3" spans="1:5">
      <c r="A3" t="s">
        <v>1051</v>
      </c>
      <c r="B3" t="s">
        <v>1404</v>
      </c>
      <c r="C3">
        <v>18</v>
      </c>
    </row>
    <row r="4" spans="1:5">
      <c r="A4" t="s">
        <v>1051</v>
      </c>
      <c r="B4" t="s">
        <v>1418</v>
      </c>
      <c r="C4">
        <v>13</v>
      </c>
    </row>
    <row r="5" spans="1:5">
      <c r="A5" t="s">
        <v>1051</v>
      </c>
      <c r="B5" t="s">
        <v>1417</v>
      </c>
      <c r="C5">
        <v>8</v>
      </c>
    </row>
    <row r="6" spans="1:5">
      <c r="A6" t="s">
        <v>1051</v>
      </c>
      <c r="B6" t="s">
        <v>1407</v>
      </c>
      <c r="C6">
        <v>47</v>
      </c>
    </row>
    <row r="7" spans="1:5">
      <c r="A7" t="s">
        <v>1018</v>
      </c>
      <c r="B7" t="s">
        <v>47</v>
      </c>
      <c r="C7">
        <v>5</v>
      </c>
    </row>
    <row r="8" spans="1:5">
      <c r="A8" t="s">
        <v>1018</v>
      </c>
      <c r="B8" t="s">
        <v>1404</v>
      </c>
      <c r="C8">
        <v>1</v>
      </c>
    </row>
    <row r="9" spans="1:5">
      <c r="A9" t="s">
        <v>1018</v>
      </c>
      <c r="B9" t="s">
        <v>1418</v>
      </c>
      <c r="C9">
        <v>1</v>
      </c>
    </row>
    <row r="10" spans="1:5">
      <c r="A10" t="s">
        <v>1018</v>
      </c>
      <c r="B10" t="s">
        <v>1417</v>
      </c>
      <c r="C10">
        <v>4</v>
      </c>
    </row>
    <row r="11" spans="1:5">
      <c r="A11" t="s">
        <v>1018</v>
      </c>
      <c r="B11" t="s">
        <v>1407</v>
      </c>
      <c r="C11">
        <v>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DE9A-9DC8-9B4C-920E-613E1AA78E62}">
  <dimension ref="A1:HM126"/>
  <sheetViews>
    <sheetView topLeftCell="AD1" zoomScale="40" zoomScaleNormal="40" workbookViewId="0">
      <selection activeCell="AF4" sqref="AF4"/>
    </sheetView>
  </sheetViews>
  <sheetFormatPr defaultColWidth="11.19921875" defaultRowHeight="15.6"/>
  <cols>
    <col min="27" max="27" width="22.19921875" customWidth="1"/>
    <col min="30" max="30" width="21.19921875" customWidth="1"/>
    <col min="32" max="32" width="8.69921875" customWidth="1"/>
    <col min="33" max="33" width="50.19921875" customWidth="1"/>
  </cols>
  <sheetData>
    <row r="1" spans="1:2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K1" s="31" t="s">
        <v>1259</v>
      </c>
      <c r="AL1" s="31" t="s">
        <v>1260</v>
      </c>
      <c r="AM1" s="31" t="s">
        <v>1018</v>
      </c>
      <c r="AN1" s="31" t="s">
        <v>1051</v>
      </c>
      <c r="AW1" s="32"/>
      <c r="AX1" s="32"/>
      <c r="AY1" s="32" t="s">
        <v>1378</v>
      </c>
      <c r="AZ1" t="s">
        <v>91</v>
      </c>
      <c r="BA1" t="s">
        <v>1383</v>
      </c>
      <c r="BB1" s="32" t="s">
        <v>1345</v>
      </c>
      <c r="BC1" s="32" t="s">
        <v>1347</v>
      </c>
      <c r="BD1" s="32" t="s">
        <v>1379</v>
      </c>
      <c r="BE1" s="32" t="s">
        <v>1346</v>
      </c>
      <c r="BH1" s="32" t="s">
        <v>1378</v>
      </c>
      <c r="BI1" s="32" t="s">
        <v>409</v>
      </c>
      <c r="BJ1" s="32" t="s">
        <v>1384</v>
      </c>
      <c r="BK1" s="32" t="s">
        <v>1345</v>
      </c>
      <c r="BL1" s="32" t="s">
        <v>1347</v>
      </c>
      <c r="BM1" s="32" t="s">
        <v>207</v>
      </c>
      <c r="BN1" s="32" t="s">
        <v>1346</v>
      </c>
      <c r="BO1" s="32" t="s">
        <v>1393</v>
      </c>
      <c r="BP1" t="s">
        <v>66</v>
      </c>
      <c r="BQ1" t="s">
        <v>1394</v>
      </c>
      <c r="BR1" t="s">
        <v>1395</v>
      </c>
      <c r="BS1" t="s">
        <v>1396</v>
      </c>
      <c r="BT1" t="s">
        <v>1397</v>
      </c>
      <c r="BU1" t="s">
        <v>1317</v>
      </c>
      <c r="BV1" t="s">
        <v>1398</v>
      </c>
      <c r="BX1" t="s">
        <v>1378</v>
      </c>
      <c r="BY1" t="s">
        <v>66</v>
      </c>
      <c r="BZ1" t="s">
        <v>1394</v>
      </c>
      <c r="CA1" t="s">
        <v>1395</v>
      </c>
      <c r="CB1" t="s">
        <v>1396</v>
      </c>
      <c r="CC1" t="s">
        <v>1397</v>
      </c>
      <c r="CD1" t="s">
        <v>1317</v>
      </c>
      <c r="CE1" t="s">
        <v>1398</v>
      </c>
      <c r="CG1" t="s">
        <v>1378</v>
      </c>
      <c r="CH1" t="s">
        <v>1399</v>
      </c>
      <c r="CI1" t="s">
        <v>1400</v>
      </c>
      <c r="CJ1" t="s">
        <v>1397</v>
      </c>
      <c r="CK1" t="s">
        <v>1401</v>
      </c>
      <c r="CL1" t="s">
        <v>1398</v>
      </c>
      <c r="CN1" t="s">
        <v>1355</v>
      </c>
      <c r="CU1" t="s">
        <v>1309</v>
      </c>
      <c r="CV1" t="s">
        <v>1402</v>
      </c>
      <c r="CW1" t="s">
        <v>1403</v>
      </c>
      <c r="CX1" t="s">
        <v>1287</v>
      </c>
      <c r="CY1" s="37" t="s">
        <v>1402</v>
      </c>
      <c r="CZ1" t="s">
        <v>1408</v>
      </c>
      <c r="FQ1" s="32" t="s">
        <v>1264</v>
      </c>
      <c r="FR1" s="32"/>
      <c r="FS1" s="32"/>
      <c r="FT1" s="32"/>
      <c r="FV1" t="s">
        <v>1305</v>
      </c>
      <c r="GZ1" t="s">
        <v>1309</v>
      </c>
    </row>
    <row r="2" spans="1:221" ht="409.6">
      <c r="A2" s="2">
        <v>10048797</v>
      </c>
      <c r="B2" s="2" t="s">
        <v>34</v>
      </c>
      <c r="C2" s="2" t="s">
        <v>35</v>
      </c>
      <c r="D2" s="2" t="s">
        <v>36</v>
      </c>
      <c r="E2" s="2" t="s">
        <v>37</v>
      </c>
      <c r="F2" s="2">
        <v>2023</v>
      </c>
      <c r="G2" s="2"/>
      <c r="H2" s="2"/>
      <c r="I2" s="2" t="s">
        <v>38</v>
      </c>
      <c r="J2" s="2" t="s">
        <v>39</v>
      </c>
      <c r="K2" s="2" t="s">
        <v>40</v>
      </c>
      <c r="L2" s="2" t="s">
        <v>41</v>
      </c>
      <c r="M2" s="2"/>
      <c r="N2" s="2" t="s">
        <v>42</v>
      </c>
      <c r="O2" s="2"/>
      <c r="P2" s="2"/>
      <c r="Q2" s="2"/>
      <c r="R2" s="2"/>
      <c r="S2" s="2"/>
      <c r="T2" s="2"/>
      <c r="U2" s="2"/>
      <c r="V2" s="2"/>
      <c r="W2" s="2"/>
      <c r="X2" s="2" t="s">
        <v>43</v>
      </c>
      <c r="Y2" s="2" t="s">
        <v>44</v>
      </c>
      <c r="Z2" s="2" t="s">
        <v>45</v>
      </c>
      <c r="AA2" s="2"/>
      <c r="AB2" s="2" t="s">
        <v>1383</v>
      </c>
      <c r="AC2" s="2"/>
      <c r="AD2" s="2" t="s">
        <v>47</v>
      </c>
      <c r="AE2" s="2"/>
      <c r="AF2" s="2"/>
      <c r="AG2" s="2"/>
      <c r="AH2" s="2">
        <v>0</v>
      </c>
      <c r="AK2">
        <f>IF(Y2="PS",1,0)</f>
        <v>0</v>
      </c>
      <c r="AL2">
        <f>IF(AND(Y2="PS",ISNUMBER(SEARCH("minimization",Z2))),1,0)</f>
        <v>0</v>
      </c>
      <c r="AM2">
        <f>IF(AND(Y2="PS",ISNUMBER(SEARCH("selection",Z2))),1,0)</f>
        <v>0</v>
      </c>
      <c r="AN2">
        <f>IF(AND(Y2="PS",ISNUMBER(SEARCH("prioritization",Z2))),1,0)</f>
        <v>0</v>
      </c>
      <c r="AP2" s="32" t="s">
        <v>1258</v>
      </c>
      <c r="AQ2" s="32" t="s">
        <v>1261</v>
      </c>
      <c r="AR2" s="32" t="s">
        <v>1260</v>
      </c>
      <c r="AS2" s="32" t="s">
        <v>1018</v>
      </c>
      <c r="AT2" s="32" t="s">
        <v>1051</v>
      </c>
      <c r="AY2" t="s">
        <v>408</v>
      </c>
      <c r="AZ2" s="37" cm="1">
        <f t="array" ref="AZ2">SUMPRODUCT(($Y$2:$Y$1000="PS")*(ISNUMBER(FIND(UPPER("prioritization"),UPPER($Z$2:$Z$1000))))*(ISNUMBER(FIND(UPPER("coverage"),UPPER($AA$2:$AA$1000))))*((ISNUMBER(FIND(UPPER("heuristic"),UPPER($AB$2:$AB$1000))))*(NOT(ISNUMBER(FIND(UPPER("meta"),UPPER($AB$2:$AB$1000)))))))</f>
        <v>12</v>
      </c>
      <c r="BA2" cm="1">
        <f t="array" ref="BA2">SUMPRODUCT(($Y$2:$Y$1000="PS")*(ISNUMBER(FIND(UPPER("prioritization"),UPPER($Z$2:$Z$1000))))*(ISNUMBER(FIND(UPPER("coverage"),UPPER($AA$2:$AA$1000))))*((ISNUMBER(FIND(UPPER("metaheuristic"),UPPER($AB$2:$AB$1000))))+(ISNUMBER(FIND(UPPER("meta-heuristic"),UPPER($AB$2:$AB$1000))))))</f>
        <v>12</v>
      </c>
      <c r="BB2" cm="1">
        <f t="array" ref="BB2">SUMPRODUCT(($Y$2:$Y$1000="PS")*(ISNUMBER(FIND(UPPER("prioritization"),UPPER($Z$2:$Z$1000))))*(ISNUMBER(FIND(UPPER("coverage"),UPPER($AA$2:$AA$1000))))*(ISNUMBER(FIND(UPPER("graph"),UPPER($AB$2:$AB$1000)))))</f>
        <v>3</v>
      </c>
      <c r="BC2" cm="1">
        <f t="array" ref="BC2">SUMPRODUCT(($Y$2:$Y$1000="PS")*(ISNUMBER(FIND(UPPER("prioritization"),UPPER($Z$2:$Z$1000))))*(ISNUMBER(FIND(UPPER("coverage"),UPPER($AA$2:$AA$1000))))*(ISNUMBER(FIND(UPPER("dynamic programming"),UPPER($AB$2:$AB$1000)))))</f>
        <v>0</v>
      </c>
      <c r="BD2" cm="1">
        <f t="array" ref="BD2">SUMPRODUCT(($Y$2:$Y$1000="PS")*(ISNUMBER(FIND(UPPER("prioritization"),UPPER($Z$2:$Z$1000))))*(ISNUMBER(FIND(UPPER("coverage"),UPPER($AA$2:$AA$1000))))*(ISNUMBER(FIND(UPPER("ml-based"),UPPER($AB$2:$AB$1000)))))</f>
        <v>5</v>
      </c>
      <c r="BE2" cm="1">
        <f t="array" ref="BE2">SUMPRODUCT(($Y$2:$Y$1000="PS")*(ISNUMBER(FIND(UPPER("prioritization"),UPPER($Z$2:$Z$1000))))*(ISNUMBER(FIND(UPPER("coverage"),UPPER($AA$2:$AA$1000))))*(ISNUMBER(FIND(UPPER("greedy"),UPPER($AB$2:$AB$1000)))))</f>
        <v>15</v>
      </c>
      <c r="BH2" t="s">
        <v>1326</v>
      </c>
      <c r="BI2" cm="1">
        <f t="array" ref="BI2">SUMPRODUCT(($Y$2:$Y$1000="PS")*(ISNUMBER(FIND(UPPER("selection"),UPPER($Z$2:$Z$1000))))*(ISNUMBER(FIND(UPPER("integer programming"),UPPER($AA$2:$AA$1000))))*((ISNUMBER(FIND(UPPER("heuristic"),UPPER($AB$2:$AB$1000))))*(NOT(ISNUMBER(FIND(UPPER("meta"),UPPER($AB$2:$AB$1000)))))))</f>
        <v>0</v>
      </c>
      <c r="BJ2" cm="1">
        <f t="array" ref="BJ2">SUMPRODUCT(($Y$2:$Y$1000="PS")*(ISNUMBER(FIND(UPPER("selection"),UPPER($Z$2:$Z$1000))))*(ISNUMBER(FIND(UPPER("integer programming"),UPPER($AA$2:$AA$1000))))*((ISNUMBER(FIND(UPPER("metaheuristic"),UPPER($AB$2:$AB$1000))))+(ISNUMBER(FIND(UPPER("meta-heuristic"),UPPER($AB$2:$AB$1000))))))</f>
        <v>4</v>
      </c>
      <c r="BK2" cm="1">
        <f t="array" ref="BK2">SUMPRODUCT(($Y$2:$Y$1000="PS")*(ISNUMBER(FIND(UPPER("selection"),UPPER($Z$2:$Z$1000))))*(ISNUMBER(FIND(UPPER("integer programming"),UPPER($AA$2:$AA$1000))))*(ISNUMBER(FIND(UPPER("graph"),UPPER($AB$2:$AB$1000)))))</f>
        <v>0</v>
      </c>
      <c r="BL2" cm="1">
        <f t="array" ref="BL2">SUMPRODUCT(($Y$2:$Y$1000="PS")*(ISNUMBER(FIND(UPPER("selection"),UPPER($Z$2:$Z$1000))))*(ISNUMBER(FIND(UPPER("integer programming"),UPPER($AA$2:$AA$1000))))*(ISNUMBER(FIND(UPPER("dynamic programming"),UPPER($AB$2:$AB$1000)))))</f>
        <v>1</v>
      </c>
      <c r="BM2" cm="1">
        <f t="array" ref="BM2">SUMPRODUCT(($Y$2:$Y$1000="PS")*(ISNUMBER(FIND(UPPER("selection"),UPPER($Z$2:$Z$1000))))*(ISNUMBER(FIND(UPPER("integer programming"),UPPER($AA$2:$AA$1000))))*(ISNUMBER(FIND(UPPER("ml-based"),UPPER($AB$2:$AB$1000)))))</f>
        <v>0</v>
      </c>
      <c r="BN2" cm="1">
        <f t="array" ref="BN2">SUMPRODUCT(($Y$2:$Y$1000="PS")*(ISNUMBER(FIND(UPPER("selection"),UPPER($Z$2:$Z$1000))))*(ISNUMBER(FIND(UPPER("integer programming"),UPPER($AA$2:$AA$1000))))*(ISNUMBER(FIND(UPPER("greedy"),UPPER($AB$2:$AB$1000)))))</f>
        <v>0</v>
      </c>
      <c r="BP2">
        <v>74</v>
      </c>
      <c r="BQ2">
        <v>2</v>
      </c>
      <c r="BR2">
        <v>8</v>
      </c>
      <c r="BS2">
        <v>9</v>
      </c>
      <c r="BT2">
        <v>4</v>
      </c>
      <c r="BU2">
        <v>13</v>
      </c>
      <c r="BV2">
        <v>11</v>
      </c>
      <c r="BX2" t="s">
        <v>408</v>
      </c>
      <c r="BY2">
        <v>34</v>
      </c>
      <c r="BZ2">
        <v>2</v>
      </c>
      <c r="CA2">
        <v>5</v>
      </c>
      <c r="CB2">
        <v>6</v>
      </c>
      <c r="CC2">
        <v>1</v>
      </c>
      <c r="CD2">
        <v>6</v>
      </c>
      <c r="CE2">
        <v>4</v>
      </c>
      <c r="CG2" t="s">
        <v>1326</v>
      </c>
      <c r="CI2">
        <v>1</v>
      </c>
      <c r="CK2">
        <v>1</v>
      </c>
      <c r="CL2">
        <v>2</v>
      </c>
      <c r="CN2" t="s">
        <v>1306</v>
      </c>
      <c r="CO2">
        <v>0</v>
      </c>
      <c r="CP2">
        <v>0.5</v>
      </c>
      <c r="CQ2">
        <v>1</v>
      </c>
      <c r="CV2" t="s">
        <v>47</v>
      </c>
      <c r="CW2">
        <v>18</v>
      </c>
      <c r="CY2" s="37" t="s">
        <v>47</v>
      </c>
      <c r="CZ2">
        <v>5</v>
      </c>
      <c r="FQ2" t="s">
        <v>1265</v>
      </c>
      <c r="FR2" t="s">
        <v>1266</v>
      </c>
      <c r="FS2" t="s">
        <v>1267</v>
      </c>
      <c r="FT2" t="s">
        <v>1268</v>
      </c>
      <c r="FV2" t="s">
        <v>1306</v>
      </c>
      <c r="FW2" t="s">
        <v>408</v>
      </c>
      <c r="FX2" t="s">
        <v>1318</v>
      </c>
      <c r="FY2" t="s">
        <v>142</v>
      </c>
      <c r="FZ2" t="s">
        <v>1319</v>
      </c>
      <c r="GA2" t="s">
        <v>1320</v>
      </c>
      <c r="GB2" t="s">
        <v>114</v>
      </c>
      <c r="GC2" t="s">
        <v>60</v>
      </c>
      <c r="GD2" t="s">
        <v>1321</v>
      </c>
      <c r="GE2" t="s">
        <v>1322</v>
      </c>
      <c r="GF2" t="s">
        <v>292</v>
      </c>
      <c r="GG2" t="s">
        <v>395</v>
      </c>
      <c r="GH2" t="s">
        <v>454</v>
      </c>
      <c r="GI2" t="s">
        <v>207</v>
      </c>
      <c r="GJ2" t="s">
        <v>91</v>
      </c>
      <c r="GK2" t="s">
        <v>61</v>
      </c>
      <c r="GL2" t="s">
        <v>1350</v>
      </c>
      <c r="GM2" t="s">
        <v>1323</v>
      </c>
      <c r="GN2" t="s">
        <v>1324</v>
      </c>
      <c r="GO2" t="s">
        <v>1325</v>
      </c>
      <c r="GP2" t="s">
        <v>966</v>
      </c>
      <c r="GQ2" t="s">
        <v>1351</v>
      </c>
      <c r="GU2" t="s">
        <v>1352</v>
      </c>
      <c r="GV2" t="s">
        <v>1353</v>
      </c>
      <c r="GW2" t="s">
        <v>1354</v>
      </c>
      <c r="GZ2" t="s">
        <v>1306</v>
      </c>
      <c r="HA2" t="s">
        <v>46</v>
      </c>
      <c r="HB2" t="s">
        <v>61</v>
      </c>
      <c r="HC2" t="s">
        <v>91</v>
      </c>
      <c r="HD2" t="s">
        <v>1340</v>
      </c>
      <c r="HE2" t="s">
        <v>1341</v>
      </c>
      <c r="HF2" t="s">
        <v>1322</v>
      </c>
      <c r="HG2" t="s">
        <v>60</v>
      </c>
      <c r="HH2" t="s">
        <v>1342</v>
      </c>
      <c r="HI2" t="s">
        <v>1343</v>
      </c>
      <c r="HJ2" t="s">
        <v>1344</v>
      </c>
      <c r="HK2" t="s">
        <v>1345</v>
      </c>
      <c r="HL2" t="s">
        <v>1346</v>
      </c>
      <c r="HM2" t="s">
        <v>1347</v>
      </c>
    </row>
    <row r="3" spans="1:221" ht="409.6">
      <c r="A3" s="2">
        <v>8377903</v>
      </c>
      <c r="B3" s="2" t="s">
        <v>34</v>
      </c>
      <c r="C3" s="2" t="s">
        <v>48</v>
      </c>
      <c r="D3" s="2" t="s">
        <v>49</v>
      </c>
      <c r="E3" s="2" t="s">
        <v>50</v>
      </c>
      <c r="F3" s="2">
        <v>2018</v>
      </c>
      <c r="G3" s="2">
        <v>2</v>
      </c>
      <c r="H3" s="2"/>
      <c r="I3" s="2" t="s">
        <v>51</v>
      </c>
      <c r="J3" s="2" t="s">
        <v>52</v>
      </c>
      <c r="K3" s="2" t="s">
        <v>53</v>
      </c>
      <c r="L3" s="2" t="s">
        <v>54</v>
      </c>
      <c r="M3" s="2" t="s">
        <v>55</v>
      </c>
      <c r="N3" s="2" t="s">
        <v>56</v>
      </c>
      <c r="O3" s="2"/>
      <c r="P3" s="2"/>
      <c r="Q3" s="2"/>
      <c r="R3" s="2"/>
      <c r="S3" s="2"/>
      <c r="T3" s="2"/>
      <c r="U3" s="2"/>
      <c r="V3" s="2"/>
      <c r="W3" s="2"/>
      <c r="X3" s="2" t="s">
        <v>57</v>
      </c>
      <c r="Y3" s="2" t="s">
        <v>58</v>
      </c>
      <c r="Z3" s="2" t="s">
        <v>59</v>
      </c>
      <c r="AA3" s="2" t="s">
        <v>60</v>
      </c>
      <c r="AB3" s="2" t="s">
        <v>1371</v>
      </c>
      <c r="AC3" s="2" t="s">
        <v>62</v>
      </c>
      <c r="AD3" s="2" t="s">
        <v>63</v>
      </c>
      <c r="AE3" s="2" t="s">
        <v>64</v>
      </c>
      <c r="AF3" s="2" t="s">
        <v>65</v>
      </c>
      <c r="AG3" s="2" t="s">
        <v>66</v>
      </c>
      <c r="AH3" s="2">
        <v>0</v>
      </c>
      <c r="AK3">
        <f>IF(Y3="PS",1,0)</f>
        <v>1</v>
      </c>
      <c r="AL3">
        <f t="shared" ref="AL3:AL66" si="0">IF(AND(Y3="PS",ISNUMBER(SEARCH("minimization",Z3))),1,0)</f>
        <v>0</v>
      </c>
      <c r="AM3">
        <f t="shared" ref="AM3:AM66" si="1">IF(AND(Y3="PS",ISNUMBER(SEARCH("selection",Z3))),1,0)</f>
        <v>0</v>
      </c>
      <c r="AN3">
        <f t="shared" ref="AN3:AN66" si="2">IF(AND(Y3="PS",ISNUMBER(SEARCH("prioritization",Z3))),1,0)</f>
        <v>1</v>
      </c>
      <c r="AP3">
        <v>2013</v>
      </c>
      <c r="AQ3">
        <f>SUMIF(F:F,AP3,AK:AK)</f>
        <v>5</v>
      </c>
      <c r="AR3">
        <f t="shared" ref="AR3:AR15" si="3">SUMIF(F:F,AP3,AL:AL)</f>
        <v>1</v>
      </c>
      <c r="AS3">
        <f t="shared" ref="AS3:AS15" si="4">SUMIF(F:F,AP3,AM:AM)</f>
        <v>2</v>
      </c>
      <c r="AT3">
        <f t="shared" ref="AT3:AT15" si="5">SUMIF(F:F,AP3,AN:AN)</f>
        <v>4</v>
      </c>
      <c r="AY3" t="s">
        <v>90</v>
      </c>
      <c r="AZ3" cm="1">
        <f t="array" ref="AZ3">SUMPRODUCT(($Y$2:$Y$1000="PS")*(ISNUMBER(FIND(UPPER("prioritization"),UPPER($Z$2:$Z$1000))))*(ISNUMBER(FIND(UPPER("requirement"),UPPER($AA$2:$AA$1000))))*((ISNUMBER(FIND(UPPER("heuristic"),UPPER($AB$2:$AB$1000))))*(NOT(ISNUMBER(FIND(UPPER("meta"),UPPER($AB$2:$AB$1000)))))))</f>
        <v>4</v>
      </c>
      <c r="BA3" cm="1">
        <f t="array" ref="BA3">SUMPRODUCT(($Y$2:$Y$1000="PS")*(ISNUMBER(FIND(UPPER("prioritization"),UPPER($Z$2:$Z$1000))))*(ISNUMBER(FIND(UPPER("requirement"),UPPER($AA$2:$AA$1000))))*((ISNUMBER(FIND(UPPER("metaheuristic"),UPPER($AB$2:$AB$1000))))+(ISNUMBER(FIND(UPPER("meta-heuristic"),UPPER($AB$2:$AB$1000))))))</f>
        <v>1</v>
      </c>
      <c r="BB3" cm="1">
        <f t="array" ref="BB3">SUMPRODUCT(($Y$2:$Y$1000="PS")*(ISNUMBER(FIND(UPPER("prioritization"),UPPER($Z$2:$Z$1000))))*(ISNUMBER(FIND(UPPER("requirement"),UPPER($AA$2:$AA$1000))))*(ISNUMBER(FIND(UPPER("graph"),UPPER($AB$2:$AB$1000)))))</f>
        <v>0</v>
      </c>
      <c r="BC3" cm="1">
        <f t="array" ref="BC3">SUMPRODUCT(($Y$2:$Y$1000="PS")*(ISNUMBER(FIND(UPPER("prioritization"),UPPER($Z$2:$Z$1000))))*(ISNUMBER(FIND(UPPER("requirement"),UPPER($AA$2:$AA$1000))))*(ISNUMBER(FIND(UPPER("dynamic programming"),UPPER($AB$2:$AB$1000)))))</f>
        <v>0</v>
      </c>
      <c r="BD3" cm="1">
        <f t="array" ref="BD3">SUMPRODUCT(($Y$2:$Y$1000="PS")*(ISNUMBER(FIND(UPPER("prioritization"),UPPER($Z$2:$Z$1000))))*(ISNUMBER(FIND(UPPER("requirement"),UPPER($AA$2:$AA$1000))))*(ISNUMBER(FIND(UPPER("ml-based"),UPPER($AB$2:$AB$1000)))))</f>
        <v>2</v>
      </c>
      <c r="BE3" cm="1">
        <f t="array" ref="BE3">SUMPRODUCT(($Y$2:$Y$1000="PS")*(ISNUMBER(FIND(UPPER("prioritization"),UPPER($Z$2:$Z$1000))))*(ISNUMBER(FIND(UPPER("requirement"),UPPER($AA$2:$AA$1000))))*(ISNUMBER(FIND(UPPER("greedy"),UPPER($AB$2:$AB$1000)))))</f>
        <v>0</v>
      </c>
      <c r="BH3" t="s">
        <v>1381</v>
      </c>
      <c r="BI3" cm="1">
        <f t="array" ref="BI3">SUMPRODUCT(($Y$2:$Y$1000="PS")*(ISNUMBER(FIND(UPPER("selection"),UPPER($Z$2:$Z$1000))))*(ISNUMBER(FIND(UPPER("data-flow"),UPPER($AA$2:$AA$1000))))*((ISNUMBER(FIND(UPPER("heuristic"),UPPER($AB$2:$AB$1000))))*(NOT(ISNUMBER(FIND(UPPER("meta"),UPPER($AB$2:$AB$1000)))))))</f>
        <v>0</v>
      </c>
      <c r="BJ3" cm="1">
        <f t="array" ref="BJ3">SUMPRODUCT(($Y$2:$Y$1000="PS")*(ISNUMBER(FIND(UPPER("selection"),UPPER($Z$2:$Z$1000))))*(ISNUMBER(FIND(UPPER("data-flow"),UPPER($AA$2:$AA$1000))))*((ISNUMBER(FIND(UPPER("metaheuristic"),UPPER($AB$2:$AB$1000))))+(ISNUMBER(FIND(UPPER("meta-heuristic"),UPPER($AB$2:$AB$1000))))))</f>
        <v>0</v>
      </c>
      <c r="BK3" cm="1">
        <f t="array" ref="BK3">SUMPRODUCT(($Y$2:$Y$1000="PS")*(ISNUMBER(FIND(UPPER("selection"),UPPER($Z$2:$Z$1000))))*(ISNUMBER(FIND(UPPER("data-flow"),UPPER($AA$2:$AA$1000))))*(ISNUMBER(FIND(UPPER("graph"),UPPER($AB$2:$AB$1000)))))</f>
        <v>0</v>
      </c>
      <c r="BL3" cm="1">
        <f t="array" ref="BL3">SUMPRODUCT(($Y$2:$Y$1000="PS")*(ISNUMBER(FIND(UPPER("selection"),UPPER($Z$2:$Z$1000))))*(ISNUMBER(FIND(UPPER("data-flow"),UPPER($AA$2:$AA$1000))))*(ISNUMBER(FIND(UPPER("dynamic programming"),UPPER($AB$2:$AB$1000)))))</f>
        <v>0</v>
      </c>
      <c r="BM3" cm="1">
        <f t="array" ref="BM3">SUMPRODUCT(($Y$2:$Y$1000="PS")*(ISNUMBER(FIND(UPPER("selection"),UPPER($Z$2:$Z$1000))))*(ISNUMBER(FIND(UPPER("data-flow"),UPPER($AA$2:$AA$1000))))*(ISNUMBER(FIND(UPPER("ml-based"),UPPER($AB$2:$AB$1000)))))</f>
        <v>0</v>
      </c>
      <c r="BN3" cm="1">
        <f t="array" ref="BN3">SUMPRODUCT(($Y$2:$Y$1000="PS")*(ISNUMBER(FIND(UPPER("selection"),UPPER($Z$2:$Z$1000))))*(ISNUMBER(FIND(UPPER("data-flow"),UPPER($AA$2:$AA$1000))))*(ISNUMBER(FIND(UPPER("greedy"),UPPER($AB$2:$AB$1000)))))</f>
        <v>0</v>
      </c>
      <c r="BO3" s="33" t="s">
        <v>1287</v>
      </c>
      <c r="BP3" t="s">
        <v>1399</v>
      </c>
      <c r="BQ3" t="s">
        <v>1400</v>
      </c>
      <c r="BR3" t="s">
        <v>1397</v>
      </c>
      <c r="BS3" t="s">
        <v>1401</v>
      </c>
      <c r="BT3" t="s">
        <v>1398</v>
      </c>
      <c r="BX3" t="s">
        <v>90</v>
      </c>
      <c r="BY3">
        <v>5</v>
      </c>
      <c r="BZ3">
        <v>1</v>
      </c>
      <c r="CG3" t="s">
        <v>1381</v>
      </c>
      <c r="CN3">
        <v>2013</v>
      </c>
      <c r="CO3" cm="1">
        <f t="array" ref="CO3">SUMPRODUCT((Y$2:Y$1000="PS")*(F$2:F$1000=$CN3)*(AH$2:AH$1000=0))</f>
        <v>4</v>
      </c>
      <c r="CP3" cm="1">
        <f t="array" ref="CP3">SUMPRODUCT((Y$2:Y$1000="PS")*(F$2:F$1000=$CN3)*(AH$2:AH$1000=0.5))</f>
        <v>1</v>
      </c>
      <c r="CQ3" cm="1">
        <f t="array" ref="CQ3">SUMPRODUCT((Y$2:Y$1000="PS")*(F$2:F$1000=$CN3)*(AH$2:AH$1000=1))</f>
        <v>0</v>
      </c>
      <c r="CS3" s="38"/>
      <c r="CT3" s="38"/>
      <c r="CV3" t="s">
        <v>1404</v>
      </c>
      <c r="CW3">
        <v>18</v>
      </c>
      <c r="CY3" s="37" t="s">
        <v>1404</v>
      </c>
      <c r="CZ3" s="35">
        <v>1</v>
      </c>
      <c r="DF3" s="34"/>
      <c r="DH3" s="34"/>
      <c r="DI3" s="34"/>
      <c r="FQ3" t="s">
        <v>1269</v>
      </c>
      <c r="FR3" s="35" cm="1">
        <f t="array" ref="FR3">SUMPRODUCT((Y$2:Y$1000="PS")*ISNUMBER(SEARCH(LOWER(FQ3),LOWER(AA$2:AA$1000)))*ISNUMBER(SEARCH("prioritization",LOWER(Z$2:Z$1000))))</f>
        <v>42</v>
      </c>
      <c r="FV3">
        <v>2013</v>
      </c>
      <c r="FW3" s="35" cm="1">
        <f t="array" ref="FW3">SUMPRODUCT((Y$2:Y$1000="PS")*(F$2:F$1000=FV3)*ISNUMBER(SEARCH("prioritization",LOWER(Z$2:Z$1000)))*ISNUMBER(SEARCH("coverage",LOWER(AA$2:AA$1000))))</f>
        <v>2</v>
      </c>
      <c r="FX3" s="35" cm="1">
        <f t="array" ref="FX3">SUMPRODUCT((Y$2:Y$1000="PS")*(F$2:F$1000=FV3)*ISNUMBER(SEARCH("prioritization",LOWER(Z$2:Z$1000)))*ISNUMBER(SEARCH("requirement",LOWER(AA$2:AA$1000))))</f>
        <v>2</v>
      </c>
      <c r="FY3" s="35" cm="1">
        <f t="array" ref="FY3">SUMPRODUCT((Y$2:Y$1000="PS")*(F$2:F$1000=FV3)*ISNUMBER(SEARCH("prioritization",LOWER(Z$2:Z$1000)))*ISNUMBER(SEARCH("probab",LOWER(AA$2:AA$1000))))</f>
        <v>0</v>
      </c>
      <c r="FZ3" s="35" cm="1">
        <f t="array" ref="FZ3">SUMPRODUCT((Y$2:Y$1000="PS")*(F$2:F$1000=FV3)*ISNUMBER(SEARCH("prioritization",LOWER(Z$2:Z$1000)))*ISNUMBER(SEARCH("distribution",LOWER(AA$2:AA$1000))))</f>
        <v>1</v>
      </c>
      <c r="GA3" s="35" cm="1">
        <f t="array" ref="GA3">SUMPRODUCT((Y$2:Y$1000="PS")*(F$2:F$1000=FV3)*ISNUMBER(SEARCH("prioritization",LOWER(Z$2:Z$1000)))*ISNUMBER(SEARCH("clustering",LOWER(AA$2:AA$1000))))</f>
        <v>0</v>
      </c>
      <c r="GB3" s="35" cm="1">
        <f t="array" ref="GB3">SUMPRODUCT((Y$2:Y$1000="PS")*(F$2:F$1000=FV3)*ISNUMBER(SEARCH("prioritization",LOWER(Z$2:Z$1000)))*ISNUMBER(SEARCH("history",LOWER(AA$2:AA$1000))))</f>
        <v>0</v>
      </c>
      <c r="GC3" s="35" cm="1">
        <f t="array" ref="GC3">SUMPRODUCT((Y$2:Y$1000="PS")*(F$2:F$1000=FV3)*ISNUMBER(SEARCH("prioritization",LOWER(Z$2:Z$1000)))*ISNUMBER(SEARCH("model",LOWER(AA$2:AA$1000))))</f>
        <v>0</v>
      </c>
      <c r="GD3" s="35" cm="1">
        <f t="array" ref="GD3">SUMPRODUCT((Y$2:Y$1000="PS")*(F$2:F$1000=FV3)*ISNUMBER(SEARCH("prioritization",LOWER(Z$2:Z$1000)))*ISNUMBER(SEARCH("cost-aware",LOWER(AA$2:AA$1000))))</f>
        <v>0</v>
      </c>
      <c r="GE3" s="35" cm="1">
        <f t="array" ref="GE3">SUMPRODUCT((Y$2:Y$1000="PS")*(F$2:F$1000=FV3)*ISNUMBER(SEARCH("prioritization",LOWER(Z$2:Z$1000)))*ISNUMBER(SEARCH("similarity",LOWER(AA$2:AA$1000))))</f>
        <v>0</v>
      </c>
      <c r="GF3" s="35" cm="1">
        <f t="array" ref="GF3">SUMPRODUCT((Y$2:Y$1000="PS")*(F$2:F$1000=FV3)*ISNUMBER(SEARCH("prioritization",LOWER(Z$2:Z$1000)))*ISNUMBER(SEARCH("input",LOWER(AA$2:AA$1000))))</f>
        <v>0</v>
      </c>
      <c r="GG3" s="35" cm="1">
        <f t="array" ref="GG3">SUMPRODUCT((Y$2:Y$1000="PS")*(F$2:F$1000=FV3)*ISNUMBER(SEARCH("prioritization",LOWER(Z$2:Z$1000)))*ISNUMBER(SEARCH("structure",LOWER(AA$2:AA$1000))))</f>
        <v>0</v>
      </c>
      <c r="GH3" s="35" cm="1">
        <f t="array" ref="GH3">SUMPRODUCT((Y$2:Y$1000="PS")*(F$2:F$1000=FV3)*ISNUMBER(SEARCH("prioritization",LOWER(Z$2:Z$1000)))*ISNUMBER(SEARCH("change",LOWER(AA$2:AA$1000))))</f>
        <v>0</v>
      </c>
      <c r="GI3" s="35" cm="1">
        <f t="array" ref="GI3">SUMPRODUCT((Y$2:Y$1000="PS")*(F$2:F$1000=FV3)*ISNUMBER(SEARCH("prioritization",LOWER(Z$2:Z$1000)))*ISNUMBER(SEARCH("ml",LOWER(AA$2:AA$1000))))</f>
        <v>0</v>
      </c>
      <c r="GJ3" s="35" cm="1">
        <f t="array" ref="GJ3">SUMPRODUCT((Y$2:Y$1000="PS")*(F$2:F$1000=FV3)*ISNUMBER(SEARCH("prioritization",LOWER(Z$2:Z$1000)))*ISNUMBER(SEARCH("heuristic",LOWER(AA$2:AA$1000))))</f>
        <v>0</v>
      </c>
      <c r="GK3" s="35" cm="1">
        <f t="array" ref="GK3">SUMPRODUCT((Y$2:Y$1000="PS")*(F$2:F$1000=FV3)*ISNUMBER(SEARCH("prioritization",LOWER(Z$2:Z$1000)))*ISNUMBER(SEARCH("search",LOWER(AA$2:AA$1000))))</f>
        <v>0</v>
      </c>
      <c r="GL3" s="35" cm="1">
        <f t="array" ref="GL3">SUMPRODUCT((Y$2:Y$1000="PS")*(F$2:F$1000=FV3)*ISNUMBER(SEARCH("prioritization",LOWER(Z$2:Z$1000)))*ISNUMBER(SEARCH("transfer",LOWER(AA$2:AA$1000))))</f>
        <v>0</v>
      </c>
      <c r="GM3" s="35" cm="1">
        <f t="array" ref="GM3">SUMPRODUCT((Y$2:Y$1000="PS")*(F$2:F$1000=FV3)*ISNUMBER(SEARCH("prioritization",LOWER(Z$2:Z$1000)))*ISNUMBER(SEARCH("riski",LOWER(AA$2:AA$1000))))</f>
        <v>0</v>
      </c>
      <c r="GN3" s="35" cm="1">
        <f t="array" ref="GN3">SUMPRODUCT((Y$2:Y$1000="PS")*(F$2:F$1000=FV3)*ISNUMBER(SEARCH("prioritization",LOWER(Z$2:Z$1000)))*ISNUMBER(SEARCH("nlp",LOWER(AA$2:AA$1000))))</f>
        <v>0</v>
      </c>
      <c r="GO3" s="35" cm="1">
        <f t="array" ref="GO3">SUMPRODUCT((Y$2:Y$1000="PS")*(F$2:F$1000=FV3)*ISNUMBER(SEARCH("prioritization",LOWER(Z$2:Z$1000)))*ISNUMBER(SEARCH("design",LOWER(AA$2:AA$1000))))</f>
        <v>0</v>
      </c>
      <c r="GP3" s="35" cm="1">
        <f t="array" ref="GP3">SUMPRODUCT((Y$2:Y$1000="PS")*(F$2:F$1000=FV3)*NOT(ISERROR(SEARCH("prioritization",LOWER(Z$2:Z$1000))))*(NOT(ISERROR(SEARCH("coverage",LOWER(AA$2:AA$1000)))))*(NOT(ISERROR(SEARCH("requirement",LOWER(AA$2:AA$1000)))))*(NOT(ISERROR(SEARCH("probabilistic",LOWER(AA$2:AA$1000)))))*(NOT(ISERROR(SEARCH("distribution",LOWER(AA$2:AA$1000)))))*(NOT(ISERROR(SEARCH("clustering",LOWER(AA$2:AA$1000)))))*(NOT(ISERROR(SEARCH("history",LOWER(AA$2:AA$1000)))))*(NOT(ISERROR(SEARCH("model",LOWER(AA$2:AA$1000)))))*(NOT(ISERROR(SEARCH("cost-aware",LOWER(AA$2:AA$1000)))))*(NOT(ISERROR(SEARCH("similarity",LOWER(AA$2:AA$1000)))))*(NOT(ISERROR(SEARCH("input",LOWER(AA$2:AA$1000)))))*(NOT(ISERROR(SEARCH("structure",LOWER(AA$2:AA$1000)))))*(NOT(ISERROR(SEARCH("change",LOWER(AA$2:AA$1000)))))*(NOT(ISERROR(SEARCH("ml",LOWER(AA$2:AA$1000)))))*(NOT(ISERROR(SEARCH("heuristic",LOWER(AA$2:AA$1000)))))*(NOT(ISERROR(SEARCH("search",LOWER(AA$2:AA$1000)))))*(NOT(ISERROR(SEARCH("transfer",LOWER(AA$2:AA$1000)))))*(NOT(ISERROR(SEARCH("risk",LOWER(AA$2:AA$1000)))))*(NOT(ISERROR(SEARCH("nlp",LOWER(AA$2:AA$1000)))))*(NOT(ISERROR(SEARCH("design",LOWER(AA$2:AA$1000))))))</f>
        <v>0</v>
      </c>
      <c r="GQ3">
        <f>SUM(GI3,GL3,GN3)</f>
        <v>0</v>
      </c>
      <c r="GU3" t="s">
        <v>91</v>
      </c>
      <c r="GV3">
        <v>22</v>
      </c>
      <c r="GW3">
        <v>14</v>
      </c>
      <c r="GZ3">
        <v>2013</v>
      </c>
      <c r="HA3" cm="1">
        <f t="array" ref="HA3">SUMPRODUCT((Y$2:Y$1000="PS")*(F$2:F$1000=GZ3)*ISNUMBER(SEARCH("prioritization",LOWER(Z$2:Z$1000)))*ISNUMBER(SEARCH(LOWER("metaheuristic"),LOWER(AB$2:AB$1000))))</f>
        <v>0</v>
      </c>
      <c r="HB3" cm="1">
        <f t="array" ref="HB3">SUMPRODUCT((Y$2:Y$1000="PS")*(F$2:F$1000=GZ3)*ISNUMBER(SEARCH("prioritization",LOWER(Z$2:Z$1000)))*ISNUMBER(SEARCH(LOWER("search"),LOWER(AB$2:AB$1000))))</f>
        <v>0</v>
      </c>
      <c r="HC3" cm="1">
        <f t="array" ref="HC3">SUMPRODUCT((Y$2:Y$1000="PS")*(F$2:F$1000=GZ3)*ISNUMBER(SEARCH("prioritization",LOWER(Z$2:Z$1000)))*ISNUMBER(SEARCH(LOWER("heuristic"),LOWER(AB$2:AB$1000))))</f>
        <v>3</v>
      </c>
      <c r="HD3" cm="1">
        <f t="array" ref="HD3">SUMPRODUCT((Y$2:Y$1000="PS")*(F$2:F$1000=GZ3)*ISNUMBER(SEARCH("prioritization",LOWER(Z$2:Z$1000)))*ISNUMBER(SEARCH(LOWER("ml"),LOWER(AB$2:AB$1000))))</f>
        <v>1</v>
      </c>
      <c r="HE3" cm="1">
        <f t="array" ref="HE3">SUMPRODUCT((Y$2:Y$1000="PS")*(F$2:F$1000=GZ3)*ISNUMBER(SEARCH("prioritization",LOWER(Z$2:Z$1000)))*ISNUMBER(SEARCH(LOWER("rule"),LOWER(AB$2:AB$1000))))</f>
        <v>0</v>
      </c>
      <c r="HF3" cm="1">
        <f t="array" ref="HF3">SUMPRODUCT((Y$2:Y$1000="PS")*(F$2:F$1000=GZ3)*ISNUMBER(SEARCH("prioritization",LOWER(Z$2:Z$1000)))*ISNUMBER(SEARCH(LOWER(HF$2),LOWER(AB$2:AB$1000))))</f>
        <v>0</v>
      </c>
      <c r="HG3" cm="1">
        <f t="array" ref="HG3">SUMPRODUCT((Y$2:Y$1000="PS")*(F$2:F$1000=GZ3)*ISNUMBER(SEARCH("prioritization",LOWER(Z$2:Z$1000)))*ISNUMBER(SEARCH(LOWER("model"),LOWER(AB$2:AB$1000))))</f>
        <v>0</v>
      </c>
      <c r="HH3" cm="1">
        <f t="array" ref="HH3">SUMPRODUCT((Y$2:Y$1000="PS")*(F$2:F$1000=GZ3)*ISNUMBER(SEARCH("prioritization",LOWER(Z$2:Z$1000)))*ISNUMBER(SEARCH(LOWER(HH$2),LOWER(AB$2:AB$1000))))</f>
        <v>0</v>
      </c>
      <c r="HI3" cm="1">
        <f t="array" ref="HI3">SUMPRODUCT((Y$2:Y$1000="PS")*(F$2:F$1000=GZ3)*ISNUMBER(SEARCH("prioritization",LOWER(Z$2:Z$1000)))*ISNUMBER(SEARCH(LOWER("quantum"),LOWER(AB$2:AB$1000))))</f>
        <v>0</v>
      </c>
      <c r="HJ3" cm="1">
        <f t="array" ref="HJ3">SUMPRODUCT((Y$2:Y$1000="PS")*(F$2:F$1000=GZ3)*ISNUMBER(SEARCH("prioritization",LOWER(Z$2:Z$1000)))*ISNUMBER(SEARCH(LOWER("genetic"),LOWER(AB$2:AB$1000))))</f>
        <v>0</v>
      </c>
      <c r="HK3" cm="1">
        <f t="array" ref="HK3">SUMPRODUCT((Y$2:Y$1000="PS")*(F$2:F$1000=GZ3)*ISNUMBER(SEARCH("prioritization",LOWER(Z$2:Z$1000)))*ISNUMBER(SEARCH(LOWER("graph"),LOWER(AB$2:AB$1000))))</f>
        <v>0</v>
      </c>
      <c r="HL3" cm="1">
        <f t="array" ref="HL3">SUMPRODUCT((Y$2:Y$1000="PS")*(F$2:F$1000=GZ3)*ISNUMBER(SEARCH("prioritization",LOWER(Z$2:Z$1000)))*ISNUMBER(SEARCH(LOWER("greedy"),LOWER(AB$2:AB$1000))))</f>
        <v>0</v>
      </c>
      <c r="HM3" cm="1">
        <f t="array" ref="HM3">SUMPRODUCT((Y$2:Y$1000="PS")*(F$2:F$1000=GZ3)*ISNUMBER(SEARCH("prioritization",LOWER(Z$2:Z$1000)))*ISNUMBER(SEARCH(LOWER("dynamic"),LOWER(AB$2:AB$1000))))</f>
        <v>0</v>
      </c>
    </row>
    <row r="4" spans="1:221" ht="409.6">
      <c r="A4" s="2">
        <v>10197719</v>
      </c>
      <c r="B4" s="2" t="s">
        <v>34</v>
      </c>
      <c r="C4" s="2" t="s">
        <v>67</v>
      </c>
      <c r="D4" s="2" t="s">
        <v>68</v>
      </c>
      <c r="E4" s="2" t="s">
        <v>69</v>
      </c>
      <c r="F4" s="2">
        <v>2023</v>
      </c>
      <c r="G4" s="2"/>
      <c r="H4" s="2"/>
      <c r="I4" s="2" t="s">
        <v>70</v>
      </c>
      <c r="J4" s="2" t="s">
        <v>71</v>
      </c>
      <c r="K4" s="2" t="s">
        <v>72</v>
      </c>
      <c r="L4" s="2" t="s">
        <v>73</v>
      </c>
      <c r="M4" s="2" t="s">
        <v>74</v>
      </c>
      <c r="N4" s="2" t="s">
        <v>75</v>
      </c>
      <c r="O4" s="2"/>
      <c r="P4" s="2"/>
      <c r="Q4" s="2"/>
      <c r="R4" s="2"/>
      <c r="S4" s="2"/>
      <c r="T4" s="2"/>
      <c r="U4" s="2"/>
      <c r="V4" s="2"/>
      <c r="W4" s="2"/>
      <c r="X4" s="2" t="s">
        <v>76</v>
      </c>
      <c r="Y4" s="2" t="s">
        <v>77</v>
      </c>
      <c r="Z4" s="2" t="s">
        <v>78</v>
      </c>
      <c r="AA4" s="2"/>
      <c r="AB4" s="2"/>
      <c r="AC4" s="2"/>
      <c r="AD4" s="2"/>
      <c r="AE4" s="2"/>
      <c r="AF4" s="2" t="s">
        <v>79</v>
      </c>
      <c r="AG4" s="2" t="s">
        <v>80</v>
      </c>
      <c r="AH4" s="2">
        <v>0</v>
      </c>
      <c r="AK4">
        <f t="shared" ref="AK4:AK67" si="6">IF(Y4="PS",1,0)</f>
        <v>0</v>
      </c>
      <c r="AL4">
        <f t="shared" si="0"/>
        <v>0</v>
      </c>
      <c r="AM4">
        <f t="shared" si="1"/>
        <v>0</v>
      </c>
      <c r="AN4">
        <f t="shared" si="2"/>
        <v>0</v>
      </c>
      <c r="AP4">
        <v>2014</v>
      </c>
      <c r="AQ4">
        <f t="shared" ref="AQ4:AQ15" si="7">SUMIF(F:F,AP4,AK:AK)</f>
        <v>7</v>
      </c>
      <c r="AR4">
        <f t="shared" si="3"/>
        <v>0</v>
      </c>
      <c r="AS4">
        <f t="shared" si="4"/>
        <v>2</v>
      </c>
      <c r="AT4">
        <f t="shared" si="5"/>
        <v>6</v>
      </c>
      <c r="AY4" t="s">
        <v>142</v>
      </c>
      <c r="AZ4" cm="1">
        <f t="array" ref="AZ4">SUMPRODUCT(($Y$2:$Y$1000="PS")*(ISNUMBER(FIND(UPPER("prioritization"),UPPER($Z$2:$Z$1000))))*(ISNUMBER(FIND(UPPER("probability"),UPPER($AA$2:$AA$1000))))*((ISNUMBER(FIND(UPPER("heuristic"),UPPER($AB$2:$AB$1000))))*(NOT(ISNUMBER(FIND(UPPER("meta"),UPPER($AB$2:$AB$1000)))))))</f>
        <v>1</v>
      </c>
      <c r="BA4" cm="1">
        <f t="array" ref="BA4">SUMPRODUCT(($Y$2:$Y$1000="PS")*(ISNUMBER(FIND(UPPER("prioritization"),UPPER($Z$2:$Z$1000))))*(ISNUMBER(FIND(UPPER("probability"),UPPER($AA$2:$AA$1000))))*((ISNUMBER(FIND(UPPER("metaheuristic"),UPPER($AB$2:$AB$1000))))+(ISNUMBER(FIND(UPPER("meta-heuristic"),UPPER($AB$2:$AB$1000))))))</f>
        <v>0</v>
      </c>
      <c r="BB4" cm="1">
        <f t="array" ref="BB4">SUMPRODUCT(($Y$2:$Y$1000="PS")*(ISNUMBER(FIND(UPPER("prioritization"),UPPER($Z$2:$Z$1000))))*(ISNUMBER(FIND(UPPER("probability"),UPPER($AA$2:$AA$1000))))*(ISNUMBER(FIND(UPPER("graph"),UPPER($AB$2:$AB$1000)))))</f>
        <v>0</v>
      </c>
      <c r="BC4" cm="1">
        <f t="array" ref="BC4">SUMPRODUCT(($Y$2:$Y$1000="PS")*(ISNUMBER(FIND(UPPER("prioritization"),UPPER($Z$2:$Z$1000))))*(ISNUMBER(FIND(UPPER("probability"),UPPER($AA$2:$AA$1000))))*(ISNUMBER(FIND(UPPER("dynamic programming"),UPPER($AB$2:$AB$1000)))))</f>
        <v>0</v>
      </c>
      <c r="BD4" cm="1">
        <f t="array" ref="BD4">SUMPRODUCT(($Y$2:$Y$1000="PS")*(ISNUMBER(FIND(UPPER("prioritization"),UPPER($Z$2:$Z$1000))))*(ISNUMBER(FIND(UPPER("probability"),UPPER($AA$2:$AA$1000))))*(ISNUMBER(FIND(UPPER("ml-based"),UPPER($AB$2:$AB$1000)))))</f>
        <v>6</v>
      </c>
      <c r="BE4" cm="1">
        <f t="array" ref="BE4">SUMPRODUCT(($Y$2:$Y$1000="PS")*(ISNUMBER(FIND(UPPER("prioritization"),UPPER($Z$2:$Z$1000))))*(ISNUMBER(FIND(UPPER("probability"),UPPER($AA$2:$AA$1000))))*(ISNUMBER(FIND(UPPER("greedy"),UPPER($AB$2:$AB$1000)))))</f>
        <v>0</v>
      </c>
      <c r="BH4" t="s">
        <v>1328</v>
      </c>
      <c r="BI4" cm="1">
        <f t="array" ref="BI4">SUMPRODUCT(($Y$2:$Y$1000="PS")*(ISNUMBER(FIND(UPPER("selection"),UPPER($Z$2:$Z$1000))))*(ISNUMBER(FIND(UPPER("symbolic"),UPPER($AA$2:$AA$1000))))*((ISNUMBER(FIND(UPPER("heuristic"),UPPER($AB$2:$AB$1000))))*(NOT(ISNUMBER(FIND(UPPER("meta"),UPPER($AB$2:$AB$1000)))))))</f>
        <v>0</v>
      </c>
      <c r="BJ4" cm="1">
        <f t="array" ref="BJ4">SUMPRODUCT(($Y$2:$Y$1000="PS")*(ISNUMBER(FIND(UPPER("selection"),UPPER($Z$2:$Z$1000))))*(ISNUMBER(FIND(UPPER("symbolic"),UPPER($AA$2:$AA$1000))))*((ISNUMBER(FIND(UPPER("metaheuristic"),UPPER($AB$2:$AB$1000))))+(ISNUMBER(FIND(UPPER("meta-heuristic"),UPPER($AB$2:$AB$1000))))))</f>
        <v>0</v>
      </c>
      <c r="BK4" cm="1">
        <f t="array" ref="BK4">SUMPRODUCT(($Y$2:$Y$1000="PS")*(ISNUMBER(FIND(UPPER("selection"),UPPER($Z$2:$Z$1000))))*(ISNUMBER(FIND(UPPER("symbolic"),UPPER($AA$2:$AA$1000))))*(ISNUMBER(FIND(UPPER("graph"),UPPER($AB$2:$AB$1000)))))</f>
        <v>0</v>
      </c>
      <c r="BL4" cm="1">
        <f t="array" ref="BL4">SUMPRODUCT(($Y$2:$Y$1000="PS")*(ISNUMBER(FIND(UPPER("selection"),UPPER($Z$2:$Z$1000))))*(ISNUMBER(FIND(UPPER("symbolic"),UPPER($AA$2:$AA$1000))))*(ISNUMBER(FIND(UPPER("dynamic programming"),UPPER($AB$2:$AB$1000)))))</f>
        <v>0</v>
      </c>
      <c r="BM4" cm="1">
        <f t="array" ref="BM4">SUMPRODUCT(($Y$2:$Y$1000="PS")*(ISNUMBER(FIND(UPPER("selection"),UPPER($Z$2:$Z$1000))))*(ISNUMBER(FIND(UPPER("symbolic"),UPPER($AA$2:$AA$1000))))*(ISNUMBER(FIND(UPPER("ml-based"),UPPER($AB$2:$AB$1000)))))</f>
        <v>0</v>
      </c>
      <c r="BN4" cm="1">
        <f t="array" ref="BN4">SUMPRODUCT(($Y$2:$Y$1000="PS")*(ISNUMBER(FIND(UPPER("selection"),UPPER($Z$2:$Z$1000))))*(ISNUMBER(FIND(UPPER("symbolic"),UPPER($AA$2:$AA$1000))))*(ISNUMBER(FIND(UPPER("greedy"),UPPER($AB$2:$AB$1000)))))</f>
        <v>0</v>
      </c>
      <c r="BP4">
        <v>3</v>
      </c>
      <c r="BQ4">
        <v>4</v>
      </c>
      <c r="BR4">
        <v>2</v>
      </c>
      <c r="BS4">
        <v>8</v>
      </c>
      <c r="BT4">
        <v>3</v>
      </c>
      <c r="BX4" t="s">
        <v>142</v>
      </c>
      <c r="BY4">
        <v>8</v>
      </c>
      <c r="CB4">
        <v>1</v>
      </c>
      <c r="CC4">
        <v>3</v>
      </c>
      <c r="CE4">
        <v>1</v>
      </c>
      <c r="CG4" t="s">
        <v>1328</v>
      </c>
      <c r="CN4">
        <v>2014</v>
      </c>
      <c r="CO4" cm="1">
        <f t="array" ref="CO4">SUMPRODUCT((Y$2:Y$1000="PS")*(F$2:F$1000=$CN4)*(AH$2:AH$1000=0))</f>
        <v>4</v>
      </c>
      <c r="CP4" cm="1">
        <f t="array" ref="CP4">SUMPRODUCT((Y$2:Y$1000="PS")*(F$2:F$1000=$CN4)*(AH$2:AH$1000=0.5))</f>
        <v>3</v>
      </c>
      <c r="CQ4" cm="1">
        <f t="array" ref="CQ4">SUMPRODUCT((Y$2:Y$1000="PS")*(F$2:F$1000=$CN4)*(AH$2:AH$1000=1))</f>
        <v>0</v>
      </c>
      <c r="CS4" s="38"/>
      <c r="CT4" s="38"/>
      <c r="CV4" t="s">
        <v>1405</v>
      </c>
      <c r="CW4">
        <v>13</v>
      </c>
      <c r="CY4" s="37" t="s">
        <v>1405</v>
      </c>
      <c r="CZ4">
        <v>1</v>
      </c>
      <c r="DH4" s="34"/>
      <c r="DI4" s="34"/>
      <c r="DS4" s="34"/>
      <c r="FQ4" t="s">
        <v>1270</v>
      </c>
      <c r="FR4" s="35" cm="1">
        <f t="array" ref="FR4">SUMPRODUCT((Y$2:Y$1000="PS")*ISNUMBER(SEARCH(LOWER(FQ4),LOWER(AA$2:AA$1000)))*ISNUMBER(SEARCH("prioritization",LOWER(Z$2:Z$1000))))</f>
        <v>2</v>
      </c>
      <c r="FV4">
        <v>2014</v>
      </c>
      <c r="FW4" s="35" cm="1">
        <f t="array" ref="FW4">SUMPRODUCT((Y$2:Y$1000="PS")*(F$2:F$1000=FV4)*ISNUMBER(SEARCH("prioritization",LOWER(Z$2:Z$1000)))*ISNUMBER(SEARCH("coverage",LOWER(AA$2:AA$1000))))</f>
        <v>2</v>
      </c>
      <c r="FX4" s="35" cm="1">
        <f t="array" ref="FX4">SUMPRODUCT((Y$2:Y$1000="PS")*(F$2:F$1000=FV4)*ISNUMBER(SEARCH("prioritization",LOWER(Z$2:Z$1000)))*ISNUMBER(SEARCH("requirement",LOWER(AA$2:AA$1000))))</f>
        <v>1</v>
      </c>
      <c r="FY4" s="35" cm="1">
        <f t="array" ref="FY4">SUMPRODUCT((Y$2:Y$1000="PS")*(F$2:F$1000=FV4)*ISNUMBER(SEARCH("prioritization",LOWER(Z$2:Z$1000)))*ISNUMBER(SEARCH("probab",LOWER(AA$2:AA$1000))))</f>
        <v>2</v>
      </c>
      <c r="FZ4" s="35" cm="1">
        <f t="array" ref="FZ4">SUMPRODUCT((Y$2:Y$1000="PS")*(F$2:F$1000=FV4)*ISNUMBER(SEARCH("prioritization",LOWER(Z$2:Z$1000)))*ISNUMBER(SEARCH("distribution",LOWER(AA$2:AA$1000))))</f>
        <v>0</v>
      </c>
      <c r="GA4" s="35" cm="1">
        <f t="array" ref="GA4">SUMPRODUCT((Y$2:Y$1000="PS")*(F$2:F$1000=FV4)*ISNUMBER(SEARCH("prioritization",LOWER(Z$2:Z$1000)))*ISNUMBER(SEARCH("clustering",LOWER(AA$2:AA$1000))))</f>
        <v>0</v>
      </c>
      <c r="GB4" s="35" cm="1">
        <f t="array" ref="GB4">SUMPRODUCT((Y$2:Y$1000="PS")*(F$2:F$1000=FV4)*ISNUMBER(SEARCH("prioritization",LOWER(Z$2:Z$1000)))*ISNUMBER(SEARCH("history",LOWER(AA$2:AA$1000))))</f>
        <v>3</v>
      </c>
      <c r="GC4" s="35" cm="1">
        <f t="array" ref="GC4">SUMPRODUCT((Y$2:Y$1000="PS")*(F$2:F$1000=FV4)*ISNUMBER(SEARCH("prioritization",LOWER(Z$2:Z$1000)))*ISNUMBER(SEARCH("model",LOWER(AA$2:AA$1000))))</f>
        <v>0</v>
      </c>
      <c r="GD4" s="35" cm="1">
        <f t="array" ref="GD4">SUMPRODUCT((Y$2:Y$1000="PS")*(F$2:F$1000=FV4)*ISNUMBER(SEARCH("prioritization",LOWER(Z$2:Z$1000)))*ISNUMBER(SEARCH("cost-aware",LOWER(AA$2:AA$1000))))</f>
        <v>0</v>
      </c>
      <c r="GE4" s="35" cm="1">
        <f t="array" ref="GE4">SUMPRODUCT((Y$2:Y$1000="PS")*(F$2:F$1000=FV4)*ISNUMBER(SEARCH("prioritization",LOWER(Z$2:Z$1000)))*ISNUMBER(SEARCH("similarity",LOWER(AA$2:AA$1000))))</f>
        <v>0</v>
      </c>
      <c r="GF4" s="35" cm="1">
        <f t="array" ref="GF4">SUMPRODUCT((Y$2:Y$1000="PS")*(F$2:F$1000=FV4)*ISNUMBER(SEARCH("prioritization",LOWER(Z$2:Z$1000)))*ISNUMBER(SEARCH("input",LOWER(AA$2:AA$1000))))</f>
        <v>0</v>
      </c>
      <c r="GG4" s="35" cm="1">
        <f t="array" ref="GG4">SUMPRODUCT((Y$2:Y$1000="PS")*(F$2:F$1000=FV4)*ISNUMBER(SEARCH("prioritization",LOWER(Z$2:Z$1000)))*ISNUMBER(SEARCH("structure",LOWER(AA$2:AA$1000))))</f>
        <v>0</v>
      </c>
      <c r="GH4" s="35" cm="1">
        <f t="array" ref="GH4">SUMPRODUCT((Y$2:Y$1000="PS")*(F$2:F$1000=FV4)*ISNUMBER(SEARCH("prioritization",LOWER(Z$2:Z$1000)))*ISNUMBER(SEARCH("change",LOWER(AA$2:AA$1000))))</f>
        <v>0</v>
      </c>
      <c r="GI4" s="35" cm="1">
        <f t="array" ref="GI4">SUMPRODUCT((Y$2:Y$1000="PS")*(F$2:F$1000=FV4)*ISNUMBER(SEARCH("prioritization",LOWER(Z$2:Z$1000)))*ISNUMBER(SEARCH("ml",LOWER(AA$2:AA$1000))))</f>
        <v>0</v>
      </c>
      <c r="GJ4" s="35" cm="1">
        <f t="array" ref="GJ4">SUMPRODUCT((Y$2:Y$1000="PS")*(F$2:F$1000=FV4)*ISNUMBER(SEARCH("prioritization",LOWER(Z$2:Z$1000)))*ISNUMBER(SEARCH("heuristic",LOWER(AA$2:AA$1000))))</f>
        <v>0</v>
      </c>
      <c r="GK4" s="35" cm="1">
        <f t="array" ref="GK4">SUMPRODUCT((Y$2:Y$1000="PS")*(F$2:F$1000=FV4)*ISNUMBER(SEARCH("prioritization",LOWER(Z$2:Z$1000)))*ISNUMBER(SEARCH("search",LOWER(AA$2:AA$1000))))</f>
        <v>0</v>
      </c>
      <c r="GL4" s="35" cm="1">
        <f t="array" ref="GL4">SUMPRODUCT((Y$2:Y$1000="PS")*(F$2:F$1000=FV4)*ISNUMBER(SEARCH("prioritization",LOWER(Z$2:Z$1000)))*ISNUMBER(SEARCH("transfer",LOWER(AA$2:AA$1000))))</f>
        <v>0</v>
      </c>
      <c r="GM4" s="35" cm="1">
        <f t="array" ref="GM4">SUMPRODUCT((Y$2:Y$1000="PS")*(F$2:F$1000=FV4)*ISNUMBER(SEARCH("prioritization",LOWER(Z$2:Z$1000)))*ISNUMBER(SEARCH("riski",LOWER(AA$2:AA$1000))))</f>
        <v>0</v>
      </c>
      <c r="GN4" s="35" cm="1">
        <f t="array" ref="GN4">SUMPRODUCT((Y$2:Y$1000="PS")*(F$2:F$1000=FV4)*ISNUMBER(SEARCH("prioritization",LOWER(Z$2:Z$1000)))*ISNUMBER(SEARCH("nlp",LOWER(AA$2:AA$1000))))</f>
        <v>0</v>
      </c>
      <c r="GO4" s="35" cm="1">
        <f t="array" ref="GO4">SUMPRODUCT((Y$2:Y$1000="PS")*(F$2:F$1000=FV4)*ISNUMBER(SEARCH("prioritization",LOWER(Z$2:Z$1000)))*ISNUMBER(SEARCH("design",LOWER(AA$2:AA$1000))))</f>
        <v>0</v>
      </c>
      <c r="GP4" s="35" cm="1">
        <f t="array" ref="GP4">SUMPRODUCT((Y$2:Y$1000="PS")*(F$2:F$1000=FV4)*ISNUMBER(SEARCH("prioritization",LOWER(Z$2:Z$1000)))*ISNUMBER(SEARCH("other",LOWER(AA$2:AA$1000))))</f>
        <v>0</v>
      </c>
      <c r="GQ4">
        <f t="shared" ref="GQ4:GQ15" si="8">SUM(GI4,GL4,GN4)</f>
        <v>0</v>
      </c>
      <c r="GU4" t="s">
        <v>61</v>
      </c>
      <c r="GV4">
        <v>3</v>
      </c>
      <c r="GW4">
        <v>10</v>
      </c>
      <c r="GZ4">
        <v>2014</v>
      </c>
      <c r="HA4" cm="1">
        <f t="array" ref="HA4">SUMPRODUCT((Y$2:Y$1000="PS")*(F$2:F$1000=GZ4)*ISNUMBER(SEARCH("prioritization",LOWER(Z$2:Z$1000)))*ISNUMBER(SEARCH(LOWER("metaheuristic"),LOWER(AB$2:AB$1000))))</f>
        <v>0</v>
      </c>
      <c r="HB4" cm="1">
        <f t="array" ref="HB4">SUMPRODUCT((Y$2:Y$1000="PS")*(F$2:F$1000=GZ4)*ISNUMBER(SEARCH("prioritization",LOWER(Z$2:Z$1000)))*ISNUMBER(SEARCH(LOWER("search"),LOWER(AB$2:AB$1000))))</f>
        <v>0</v>
      </c>
      <c r="HC4" cm="1">
        <f t="array" ref="HC4">SUMPRODUCT((Y$2:Y$1000="PS")*(F$2:F$1000=GZ4)*ISNUMBER(SEARCH("prioritization",LOWER(Z$2:Z$1000)))*ISNUMBER(SEARCH(LOWER("heuristic"),LOWER(AB$2:AB$1000))))</f>
        <v>4</v>
      </c>
      <c r="HD4" cm="1">
        <f t="array" ref="HD4">SUMPRODUCT((Y$2:Y$1000="PS")*(F$2:F$1000=GZ4)*ISNUMBER(SEARCH("prioritization",LOWER(Z$2:Z$1000)))*ISNUMBER(SEARCH(LOWER("ml"),LOWER(AB$2:AB$1000))))</f>
        <v>1</v>
      </c>
      <c r="HE4" cm="1">
        <f t="array" ref="HE4">SUMPRODUCT((Y$2:Y$1000="PS")*(F$2:F$1000=GZ4)*ISNUMBER(SEARCH("prioritization",LOWER(Z$2:Z$1000)))*ISNUMBER(SEARCH(LOWER("rule"),LOWER(AB$2:AB$1000))))</f>
        <v>0</v>
      </c>
      <c r="HF4" cm="1">
        <f t="array" ref="HF4">SUMPRODUCT((Y$2:Y$1000="PS")*(F$2:F$1000=GZ4)*ISNUMBER(SEARCH("prioritization",LOWER(Z$2:Z$1000)))*ISNUMBER(SEARCH(LOWER(HF$2),LOWER(AB$2:AB$1000))))</f>
        <v>0</v>
      </c>
      <c r="HG4" cm="1">
        <f t="array" ref="HG4">SUMPRODUCT((Y$2:Y$1000="PS")*(F$2:F$1000=GZ4)*ISNUMBER(SEARCH("prioritization",LOWER(Z$2:Z$1000)))*ISNUMBER(SEARCH(LOWER("model"),LOWER(AB$2:AB$1000))))</f>
        <v>0</v>
      </c>
      <c r="HH4" cm="1">
        <f t="array" ref="HH4">SUMPRODUCT((Y$2:Y$1000="PS")*(F$2:F$1000=GZ4)*ISNUMBER(SEARCH("prioritization",LOWER(Z$2:Z$1000)))*ISNUMBER(SEARCH(LOWER(HH$2),LOWER(AB$2:AB$1000))))</f>
        <v>0</v>
      </c>
      <c r="HI4" cm="1">
        <f t="array" ref="HI4">SUMPRODUCT((Y$2:Y$1000="PS")*(F$2:F$1000=GZ4)*ISNUMBER(SEARCH("prioritization",LOWER(Z$2:Z$1000)))*ISNUMBER(SEARCH(LOWER("quantum"),LOWER(AB$2:AB$1000))))</f>
        <v>0</v>
      </c>
      <c r="HJ4" cm="1">
        <f t="array" ref="HJ4">SUMPRODUCT((Y$2:Y$1000="PS")*(F$2:F$1000=GZ4)*ISNUMBER(SEARCH("prioritization",LOWER(Z$2:Z$1000)))*ISNUMBER(SEARCH(LOWER("genetic"),LOWER(AB$2:AB$1000))))</f>
        <v>0</v>
      </c>
      <c r="HK4" cm="1">
        <f t="array" ref="HK4">SUMPRODUCT((Y$2:Y$1000="PS")*(F$2:F$1000=GZ4)*ISNUMBER(SEARCH("prioritization",LOWER(Z$2:Z$1000)))*ISNUMBER(SEARCH(LOWER("graph"),LOWER(AB$2:AB$1000))))</f>
        <v>0</v>
      </c>
      <c r="HL4" cm="1">
        <f t="array" ref="HL4">SUMPRODUCT((Y$2:Y$1000="PS")*(F$2:F$1000=GZ4)*ISNUMBER(SEARCH("prioritization",LOWER(Z$2:Z$1000)))*ISNUMBER(SEARCH(LOWER("greedy"),LOWER(AB$2:AB$1000))))</f>
        <v>0</v>
      </c>
      <c r="HM4" cm="1">
        <f t="array" ref="HM4">SUMPRODUCT((Y$2:Y$1000="PS")*(F$2:F$1000=GZ4)*ISNUMBER(SEARCH("prioritization",LOWER(Z$2:Z$1000)))*ISNUMBER(SEARCH(LOWER("dynamic"),LOWER(AB$2:AB$1000))))</f>
        <v>0</v>
      </c>
    </row>
    <row r="5" spans="1:221" ht="409.6">
      <c r="A5" s="2">
        <v>7515934</v>
      </c>
      <c r="B5" s="2" t="s">
        <v>34</v>
      </c>
      <c r="C5" s="2" t="s">
        <v>81</v>
      </c>
      <c r="D5" s="2" t="s">
        <v>82</v>
      </c>
      <c r="E5" s="2" t="s">
        <v>83</v>
      </c>
      <c r="F5" s="2">
        <v>2016</v>
      </c>
      <c r="G5" s="2"/>
      <c r="H5" s="2"/>
      <c r="I5" s="2" t="s">
        <v>84</v>
      </c>
      <c r="J5" s="2" t="s">
        <v>85</v>
      </c>
      <c r="K5" s="2" t="s">
        <v>86</v>
      </c>
      <c r="L5" s="2" t="s">
        <v>87</v>
      </c>
      <c r="M5" s="2"/>
      <c r="N5" s="2" t="s">
        <v>75</v>
      </c>
      <c r="O5" s="2"/>
      <c r="P5" s="2"/>
      <c r="Q5" s="2"/>
      <c r="R5" s="2"/>
      <c r="S5" s="2"/>
      <c r="T5" s="2"/>
      <c r="U5" s="2"/>
      <c r="V5" s="2"/>
      <c r="W5" s="2"/>
      <c r="X5" s="2" t="s">
        <v>88</v>
      </c>
      <c r="Y5" s="2" t="s">
        <v>58</v>
      </c>
      <c r="Z5" s="2" t="s">
        <v>89</v>
      </c>
      <c r="AA5" s="2" t="s">
        <v>90</v>
      </c>
      <c r="AB5" s="2" t="s">
        <v>91</v>
      </c>
      <c r="AC5" s="2" t="s">
        <v>62</v>
      </c>
      <c r="AD5" s="2" t="s">
        <v>92</v>
      </c>
      <c r="AE5" s="2" t="s">
        <v>93</v>
      </c>
      <c r="AF5" s="2" t="s">
        <v>65</v>
      </c>
      <c r="AG5" s="2" t="s">
        <v>94</v>
      </c>
      <c r="AH5" s="2">
        <v>0</v>
      </c>
      <c r="AK5">
        <f t="shared" si="6"/>
        <v>1</v>
      </c>
      <c r="AL5">
        <f t="shared" si="0"/>
        <v>0</v>
      </c>
      <c r="AM5">
        <f t="shared" si="1"/>
        <v>0</v>
      </c>
      <c r="AN5">
        <f t="shared" si="2"/>
        <v>1</v>
      </c>
      <c r="AP5">
        <v>2015</v>
      </c>
      <c r="AQ5">
        <f t="shared" si="7"/>
        <v>8</v>
      </c>
      <c r="AR5">
        <f t="shared" si="3"/>
        <v>0</v>
      </c>
      <c r="AS5">
        <f t="shared" si="4"/>
        <v>0</v>
      </c>
      <c r="AT5">
        <f t="shared" si="5"/>
        <v>8</v>
      </c>
      <c r="AY5" t="s">
        <v>1319</v>
      </c>
      <c r="AZ5" cm="1">
        <f t="array" ref="AZ5">SUMPRODUCT(($Y$2:$Y$1000="PS")*(ISNUMBER(FIND(UPPER("prioritization"),UPPER($Z$2:$Z$1000))))*(ISNUMBER(FIND(UPPER("distribution"),UPPER($AA$2:$AA$1000))))*((ISNUMBER(FIND(UPPER("heuristic"),UPPER($AB$2:$AB$1000))))*(NOT(ISNUMBER(FIND(UPPER("meta"),UPPER($AB$2:$AB$1000)))))))</f>
        <v>3</v>
      </c>
      <c r="BA5" cm="1">
        <f t="array" ref="BA5">SUMPRODUCT(($Y$2:$Y$1000="PS")*(ISNUMBER(FIND(UPPER("prioritization"),UPPER($Z$2:$Z$1000))))*(ISNUMBER(FIND(UPPER("distribution"),UPPER($AA$2:$AA$1000))))*((ISNUMBER(FIND(UPPER("metaheuristic"),UPPER($AB$2:$AB$1000))))+(ISNUMBER(FIND(UPPER("meta-heuristic"),UPPER($AB$2:$AB$1000))))))</f>
        <v>0</v>
      </c>
      <c r="BB5" cm="1">
        <f t="array" ref="BB5">SUMPRODUCT(($Y$2:$Y$1000="PS")*(ISNUMBER(FIND(UPPER("prioritization"),UPPER($Z$2:$Z$1000))))*(ISNUMBER(FIND(UPPER("distribution"),UPPER($AA$2:$AA$1000))))*(ISNUMBER(FIND(UPPER("graph"),UPPER($AB$2:$AB$1000)))))</f>
        <v>0</v>
      </c>
      <c r="BC5" cm="1">
        <f t="array" ref="BC5">SUMPRODUCT(($Y$2:$Y$1000="PS")*(ISNUMBER(FIND(UPPER("prioritization"),UPPER($Z$2:$Z$1000))))*(ISNUMBER(FIND(UPPER("distribution"),UPPER($AA$2:$AA$1000))))*(ISNUMBER(FIND(UPPER("dynamic programming"),UPPER($AB$2:$AB$1000)))))</f>
        <v>0</v>
      </c>
      <c r="BD5" cm="1">
        <f t="array" ref="BD5">SUMPRODUCT(($Y$2:$Y$1000="PS")*(ISNUMBER(FIND(UPPER("prioritization"),UPPER($Z$2:$Z$1000))))*(ISNUMBER(FIND(UPPER("distribution"),UPPER($AA$2:$AA$1000))))*(ISNUMBER(FIND(UPPER("ml-based"),UPPER($AB$2:$AB$1000)))))</f>
        <v>3</v>
      </c>
      <c r="BE5" cm="1">
        <f t="array" ref="BE5">SUMPRODUCT(($Y$2:$Y$1000="PS")*(ISNUMBER(FIND(UPPER("prioritization"),UPPER($Z$2:$Z$1000))))*(ISNUMBER(FIND(UPPER("distribution"),UPPER($AA$2:$AA$1000))))*(ISNUMBER(FIND(UPPER("greedy"),UPPER($AB$2:$AB$1000)))))</f>
        <v>0</v>
      </c>
      <c r="BH5" t="s">
        <v>1382</v>
      </c>
      <c r="BI5" cm="1">
        <f t="array" ref="BI5">SUMPRODUCT(($Y$2:$Y$1000="PS")*(ISNUMBER(FIND(UPPER("selection"),UPPER($Z$2:$Z$1000))))*(ISNUMBER(FIND(UPPER("dynamic"),UPPER($AA$2:$AA$1000))))*((ISNUMBER(FIND(UPPER("heuristic"),UPPER($AB$2:$AB$1000))))*(NOT(ISNUMBER(FIND(UPPER("meta"),UPPER($AB$2:$AB$1000)))))))</f>
        <v>0</v>
      </c>
      <c r="BJ5" cm="1">
        <f t="array" ref="BJ5">SUMPRODUCT(($Y$2:$Y$1000="PS")*(ISNUMBER(FIND(UPPER("selection"),UPPER($Z$2:$Z$1000))))*(ISNUMBER(FIND(UPPER("dynamic"),UPPER($AA$2:$AA$1000))))*((ISNUMBER(FIND(UPPER("metaheuristic"),UPPER($AB$2:$AB$1000))))+(ISNUMBER(FIND(UPPER("meta-heuristic"),UPPER($AB$2:$AB$1000))))))</f>
        <v>0</v>
      </c>
      <c r="BK5" cm="1">
        <f t="array" ref="BK5">SUMPRODUCT(($Y$2:$Y$1000="PS")*(ISNUMBER(FIND(UPPER("selection"),UPPER($Z$2:$Z$1000))))*(ISNUMBER(FIND(UPPER("dynamic"),UPPER($AA$2:$AA$1000))))*(ISNUMBER(FIND(UPPER("graph"),UPPER($AB$2:$AB$1000)))))</f>
        <v>0</v>
      </c>
      <c r="BL5" cm="1">
        <f t="array" ref="BL5">SUMPRODUCT(($Y$2:$Y$1000="PS")*(ISNUMBER(FIND(UPPER("selection"),UPPER($Z$2:$Z$1000))))*(ISNUMBER(FIND(UPPER("dynamic"),UPPER($AA$2:$AA$1000))))*(ISNUMBER(FIND(UPPER("dynamic programming"),UPPER($AB$2:$AB$1000)))))</f>
        <v>0</v>
      </c>
      <c r="BM5" cm="1">
        <f t="array" ref="BM5">SUMPRODUCT(($Y$2:$Y$1000="PS")*(ISNUMBER(FIND(UPPER("selection"),UPPER($Z$2:$Z$1000))))*(ISNUMBER(FIND(UPPER("dynamic"),UPPER($AA$2:$AA$1000))))*(ISNUMBER(FIND(UPPER("ml-based"),UPPER($AB$2:$AB$1000)))))</f>
        <v>0</v>
      </c>
      <c r="BN5" cm="1">
        <f t="array" ref="BN5">SUMPRODUCT(($Y$2:$Y$1000="PS")*(ISNUMBER(FIND(UPPER("selection"),UPPER($Z$2:$Z$1000))))*(ISNUMBER(FIND(UPPER("dynamic"),UPPER($AA$2:$AA$1000))))*(ISNUMBER(FIND(UPPER("greedy"),UPPER($AB$2:$AB$1000)))))</f>
        <v>0</v>
      </c>
      <c r="BX5" t="s">
        <v>1319</v>
      </c>
      <c r="BY5">
        <v>6</v>
      </c>
      <c r="CD5">
        <v>3</v>
      </c>
      <c r="CE5">
        <v>1</v>
      </c>
      <c r="CG5" t="s">
        <v>1382</v>
      </c>
      <c r="CN5">
        <v>2015</v>
      </c>
      <c r="CO5" cm="1">
        <f t="array" ref="CO5">SUMPRODUCT((Y$2:Y$1000="PS")*(F$2:F$1000=$CN5)*(AH$2:AH$1000=0))</f>
        <v>3</v>
      </c>
      <c r="CP5" cm="1">
        <f t="array" ref="CP5">SUMPRODUCT((Y$2:Y$1000="PS")*(F$2:F$1000=$CN5)*(AH$2:AH$1000=0.5))</f>
        <v>5</v>
      </c>
      <c r="CQ5" cm="1">
        <f t="array" ref="CQ5">SUMPRODUCT((Y$2:Y$1000="PS")*(F$2:F$1000=$CN5)*(AH$2:AH$1000=1))</f>
        <v>0</v>
      </c>
      <c r="CS5" s="38"/>
      <c r="CT5" s="38"/>
      <c r="CV5" t="s">
        <v>1406</v>
      </c>
      <c r="CW5">
        <v>8</v>
      </c>
      <c r="CY5" s="37" t="s">
        <v>1406</v>
      </c>
      <c r="CZ5" s="35">
        <v>4</v>
      </c>
      <c r="DF5" s="34"/>
      <c r="DH5" s="34"/>
      <c r="DI5" s="34"/>
      <c r="DT5" s="34"/>
      <c r="FQ5" t="s">
        <v>1271</v>
      </c>
      <c r="FR5" s="35" cm="1">
        <f t="array" ref="FR5">SUMPRODUCT((Y$2:Y$1000="PS")*ISNUMBER(SEARCH(LOWER(FQ5),LOWER(AA$2:AA$1000)))*ISNUMBER(SEARCH("prioritization",LOWER(Z$2:Z$1000))))</f>
        <v>0</v>
      </c>
      <c r="FV5">
        <v>2015</v>
      </c>
      <c r="FW5" s="35" cm="1">
        <f t="array" ref="FW5">SUMPRODUCT((Y$2:Y$1000="PS")*(F$2:F$1000=FV5)*ISNUMBER(SEARCH("prioritization",LOWER(Z$2:Z$1000)))*ISNUMBER(SEARCH("coverage",LOWER(AA$2:AA$1000))))</f>
        <v>2</v>
      </c>
      <c r="FX5" s="35" cm="1">
        <f t="array" ref="FX5">SUMPRODUCT((Y$2:Y$1000="PS")*(F$2:F$1000=FV5)*ISNUMBER(SEARCH("prioritization",LOWER(Z$2:Z$1000)))*ISNUMBER(SEARCH("requirement",LOWER(AA$2:AA$1000))))</f>
        <v>0</v>
      </c>
      <c r="FY5" s="35" cm="1">
        <f t="array" ref="FY5">SUMPRODUCT((Y$2:Y$1000="PS")*(F$2:F$1000=FV5)*ISNUMBER(SEARCH("prioritization",LOWER(Z$2:Z$1000)))*ISNUMBER(SEARCH("probab",LOWER(AA$2:AA$1000))))</f>
        <v>1</v>
      </c>
      <c r="FZ5" s="35" cm="1">
        <f t="array" ref="FZ5">SUMPRODUCT((Y$2:Y$1000="PS")*(F$2:F$1000=FV5)*ISNUMBER(SEARCH("prioritization",LOWER(Z$2:Z$1000)))*ISNUMBER(SEARCH("distribution",LOWER(AA$2:AA$1000))))</f>
        <v>2</v>
      </c>
      <c r="GA5" s="35" cm="1">
        <f t="array" ref="GA5">SUMPRODUCT((Y$2:Y$1000="PS")*(F$2:F$1000=FV5)*ISNUMBER(SEARCH("prioritization",LOWER(Z$2:Z$1000)))*ISNUMBER(SEARCH("clustering",LOWER(AA$2:AA$1000))))</f>
        <v>0</v>
      </c>
      <c r="GB5" s="35" cm="1">
        <f t="array" ref="GB5">SUMPRODUCT((Y$2:Y$1000="PS")*(F$2:F$1000=FV5)*ISNUMBER(SEARCH("prioritization",LOWER(Z$2:Z$1000)))*ISNUMBER(SEARCH("history",LOWER(AA$2:AA$1000))))</f>
        <v>2</v>
      </c>
      <c r="GC5" s="35" cm="1">
        <f t="array" ref="GC5">SUMPRODUCT((Y$2:Y$1000="PS")*(F$2:F$1000=FV5)*ISNUMBER(SEARCH("prioritization",LOWER(Z$2:Z$1000)))*ISNUMBER(SEARCH("model",LOWER(AA$2:AA$1000))))</f>
        <v>2</v>
      </c>
      <c r="GD5" s="35" cm="1">
        <f t="array" ref="GD5">SUMPRODUCT((Y$2:Y$1000="PS")*(F$2:F$1000=FV5)*ISNUMBER(SEARCH("prioritization",LOWER(Z$2:Z$1000)))*ISNUMBER(SEARCH("cost-aware",LOWER(AA$2:AA$1000))))</f>
        <v>0</v>
      </c>
      <c r="GE5" s="35" cm="1">
        <f t="array" ref="GE5">SUMPRODUCT((Y$2:Y$1000="PS")*(F$2:F$1000=FV5)*ISNUMBER(SEARCH("prioritization",LOWER(Z$2:Z$1000)))*ISNUMBER(SEARCH("similarity",LOWER(AA$2:AA$1000))))</f>
        <v>0</v>
      </c>
      <c r="GF5" s="35" cm="1">
        <f t="array" ref="GF5">SUMPRODUCT((Y$2:Y$1000="PS")*(F$2:F$1000=FV5)*ISNUMBER(SEARCH("prioritization",LOWER(Z$2:Z$1000)))*ISNUMBER(SEARCH("input",LOWER(AA$2:AA$1000))))</f>
        <v>0</v>
      </c>
      <c r="GG5" s="35" cm="1">
        <f t="array" ref="GG5">SUMPRODUCT((Y$2:Y$1000="PS")*(F$2:F$1000=FV5)*ISNUMBER(SEARCH("prioritization",LOWER(Z$2:Z$1000)))*ISNUMBER(SEARCH("structure",LOWER(AA$2:AA$1000))))</f>
        <v>0</v>
      </c>
      <c r="GH5" s="35" cm="1">
        <f t="array" ref="GH5">SUMPRODUCT((Y$2:Y$1000="PS")*(F$2:F$1000=FV5)*ISNUMBER(SEARCH("prioritization",LOWER(Z$2:Z$1000)))*ISNUMBER(SEARCH("change",LOWER(AA$2:AA$1000))))</f>
        <v>0</v>
      </c>
      <c r="GI5" s="35" cm="1">
        <f t="array" ref="GI5">SUMPRODUCT((Y$2:Y$1000="PS")*(F$2:F$1000=FV5)*ISNUMBER(SEARCH("prioritization",LOWER(Z$2:Z$1000)))*ISNUMBER(SEARCH("ml",LOWER(AA$2:AA$1000))))</f>
        <v>0</v>
      </c>
      <c r="GJ5" s="35" cm="1">
        <f t="array" ref="GJ5">SUMPRODUCT((Y$2:Y$1000="PS")*(F$2:F$1000=FV5)*ISNUMBER(SEARCH("prioritization",LOWER(Z$2:Z$1000)))*ISNUMBER(SEARCH("heuristic",LOWER(AA$2:AA$1000))))</f>
        <v>0</v>
      </c>
      <c r="GK5" s="35" cm="1">
        <f t="array" ref="GK5">SUMPRODUCT((Y$2:Y$1000="PS")*(F$2:F$1000=FV5)*ISNUMBER(SEARCH("prioritization",LOWER(Z$2:Z$1000)))*ISNUMBER(SEARCH("search",LOWER(AA$2:AA$1000))))</f>
        <v>0</v>
      </c>
      <c r="GL5" s="35" cm="1">
        <f t="array" ref="GL5">SUMPRODUCT((Y$2:Y$1000="PS")*(F$2:F$1000=FV5)*ISNUMBER(SEARCH("prioritization",LOWER(Z$2:Z$1000)))*ISNUMBER(SEARCH("transfer",LOWER(AA$2:AA$1000))))</f>
        <v>0</v>
      </c>
      <c r="GM5" s="35" cm="1">
        <f t="array" ref="GM5">SUMPRODUCT((Y$2:Y$1000="PS")*(F$2:F$1000=FV5)*ISNUMBER(SEARCH("prioritization",LOWER(Z$2:Z$1000)))*ISNUMBER(SEARCH("riski",LOWER(AA$2:AA$1000))))</f>
        <v>0</v>
      </c>
      <c r="GN5" s="35" cm="1">
        <f t="array" ref="GN5">SUMPRODUCT((Y$2:Y$1000="PS")*(F$2:F$1000=FV5)*ISNUMBER(SEARCH("prioritization",LOWER(Z$2:Z$1000)))*ISNUMBER(SEARCH("nlp",LOWER(AA$2:AA$1000))))</f>
        <v>0</v>
      </c>
      <c r="GO5" s="35" cm="1">
        <f t="array" ref="GO5">SUMPRODUCT((Y$2:Y$1000="PS")*(F$2:F$1000=FV5)*ISNUMBER(SEARCH("prioritization",LOWER(Z$2:Z$1000)))*ISNUMBER(SEARCH("design",LOWER(AA$2:AA$1000))))</f>
        <v>0</v>
      </c>
      <c r="GP5" s="35" cm="1">
        <f t="array" ref="GP5">SUMPRODUCT((Y$2:Y$1000="PS")*(F$2:F$1000=FV5)*ISNUMBER(SEARCH("prioritization",LOWER(Z$2:Z$1000)))*ISNUMBER(SEARCH("other",LOWER(AA$2:AA$1000))))</f>
        <v>0</v>
      </c>
      <c r="GQ5">
        <f t="shared" si="8"/>
        <v>0</v>
      </c>
      <c r="GU5" t="s">
        <v>207</v>
      </c>
      <c r="GV5">
        <v>4</v>
      </c>
      <c r="GW5">
        <v>8</v>
      </c>
      <c r="GZ5">
        <v>2015</v>
      </c>
      <c r="HA5" cm="1">
        <f t="array" ref="HA5">SUMPRODUCT((Y$2:Y$1000="PS")*(F$2:F$1000=GZ5)*ISNUMBER(SEARCH("prioritization",LOWER(Z$2:Z$1000)))*ISNUMBER(SEARCH(LOWER("metaheuristic"),LOWER(AB$2:AB$1000))))</f>
        <v>0</v>
      </c>
      <c r="HB5" cm="1">
        <f t="array" ref="HB5">SUMPRODUCT((Y$2:Y$1000="PS")*(F$2:F$1000=GZ5)*ISNUMBER(SEARCH("prioritization",LOWER(Z$2:Z$1000)))*ISNUMBER(SEARCH(LOWER("search"),LOWER(AB$2:AB$1000))))</f>
        <v>0</v>
      </c>
      <c r="HC5" cm="1">
        <f t="array" ref="HC5">SUMPRODUCT((Y$2:Y$1000="PS")*(F$2:F$1000=GZ5)*ISNUMBER(SEARCH("prioritization",LOWER(Z$2:Z$1000)))*ISNUMBER(SEARCH(LOWER("heuristic"),LOWER(AB$2:AB$1000))))</f>
        <v>6</v>
      </c>
      <c r="HD5" cm="1">
        <f t="array" ref="HD5">SUMPRODUCT((Y$2:Y$1000="PS")*(F$2:F$1000=GZ5)*ISNUMBER(SEARCH("prioritization",LOWER(Z$2:Z$1000)))*ISNUMBER(SEARCH(LOWER("ml"),LOWER(AB$2:AB$1000))))</f>
        <v>2</v>
      </c>
      <c r="HE5" cm="1">
        <f t="array" ref="HE5">SUMPRODUCT((Y$2:Y$1000="PS")*(F$2:F$1000=GZ5)*ISNUMBER(SEARCH("prioritization",LOWER(Z$2:Z$1000)))*ISNUMBER(SEARCH(LOWER("rule"),LOWER(AB$2:AB$1000))))</f>
        <v>0</v>
      </c>
      <c r="HF5" cm="1">
        <f t="array" ref="HF5">SUMPRODUCT((Y$2:Y$1000="PS")*(F$2:F$1000=GZ5)*ISNUMBER(SEARCH("prioritization",LOWER(Z$2:Z$1000)))*ISNUMBER(SEARCH(LOWER(HF$2),LOWER(AB$2:AB$1000))))</f>
        <v>0</v>
      </c>
      <c r="HG5" cm="1">
        <f t="array" ref="HG5">SUMPRODUCT((Y$2:Y$1000="PS")*(F$2:F$1000=GZ5)*ISNUMBER(SEARCH("prioritization",LOWER(Z$2:Z$1000)))*ISNUMBER(SEARCH(LOWER("model"),LOWER(AB$2:AB$1000))))</f>
        <v>0</v>
      </c>
      <c r="HH5" cm="1">
        <f t="array" ref="HH5">SUMPRODUCT((Y$2:Y$1000="PS")*(F$2:F$1000=GZ5)*ISNUMBER(SEARCH("prioritization",LOWER(Z$2:Z$1000)))*ISNUMBER(SEARCH(LOWER(HH$2),LOWER(AB$2:AB$1000))))</f>
        <v>0</v>
      </c>
      <c r="HI5" cm="1">
        <f t="array" ref="HI5">SUMPRODUCT((Y$2:Y$1000="PS")*(F$2:F$1000=GZ5)*ISNUMBER(SEARCH("prioritization",LOWER(Z$2:Z$1000)))*ISNUMBER(SEARCH(LOWER("quantum"),LOWER(AB$2:AB$1000))))</f>
        <v>0</v>
      </c>
      <c r="HJ5" cm="1">
        <f t="array" ref="HJ5">SUMPRODUCT((Y$2:Y$1000="PS")*(F$2:F$1000=GZ5)*ISNUMBER(SEARCH("prioritization",LOWER(Z$2:Z$1000)))*ISNUMBER(SEARCH(LOWER("genetic"),LOWER(AB$2:AB$1000))))</f>
        <v>0</v>
      </c>
      <c r="HK5" cm="1">
        <f t="array" ref="HK5">SUMPRODUCT((Y$2:Y$1000="PS")*(F$2:F$1000=GZ5)*ISNUMBER(SEARCH("prioritization",LOWER(Z$2:Z$1000)))*ISNUMBER(SEARCH(LOWER("graph"),LOWER(AB$2:AB$1000))))</f>
        <v>0</v>
      </c>
      <c r="HL5" cm="1">
        <f t="array" ref="HL5">SUMPRODUCT((Y$2:Y$1000="PS")*(F$2:F$1000=GZ5)*ISNUMBER(SEARCH("prioritization",LOWER(Z$2:Z$1000)))*ISNUMBER(SEARCH(LOWER("greedy"),LOWER(AB$2:AB$1000))))</f>
        <v>1</v>
      </c>
      <c r="HM5" cm="1">
        <f t="array" ref="HM5">SUMPRODUCT((Y$2:Y$1000="PS")*(F$2:F$1000=GZ5)*ISNUMBER(SEARCH("prioritization",LOWER(Z$2:Z$1000)))*ISNUMBER(SEARCH(LOWER("dynamic"),LOWER(AB$2:AB$1000))))</f>
        <v>0</v>
      </c>
    </row>
    <row r="6" spans="1:221" ht="409.6">
      <c r="A6" s="2">
        <v>6888744</v>
      </c>
      <c r="B6" s="2" t="s">
        <v>34</v>
      </c>
      <c r="C6" s="2" t="s">
        <v>95</v>
      </c>
      <c r="D6" s="2" t="s">
        <v>96</v>
      </c>
      <c r="E6" s="2" t="s">
        <v>97</v>
      </c>
      <c r="F6" s="2">
        <v>2014</v>
      </c>
      <c r="G6" s="2"/>
      <c r="H6" s="2"/>
      <c r="I6" s="2" t="s">
        <v>98</v>
      </c>
      <c r="J6" s="2" t="s">
        <v>99</v>
      </c>
      <c r="K6" s="2" t="s">
        <v>100</v>
      </c>
      <c r="L6" s="2" t="s">
        <v>101</v>
      </c>
      <c r="M6" s="2"/>
      <c r="N6" s="2" t="s">
        <v>102</v>
      </c>
      <c r="O6" s="2"/>
      <c r="P6" s="2"/>
      <c r="Q6" s="2"/>
      <c r="R6" s="2"/>
      <c r="S6" s="2"/>
      <c r="T6" s="2"/>
      <c r="U6" s="2"/>
      <c r="V6" s="2"/>
      <c r="W6" s="2"/>
      <c r="X6" s="2" t="s">
        <v>103</v>
      </c>
      <c r="Y6" s="2" t="s">
        <v>58</v>
      </c>
      <c r="Z6" s="2" t="s">
        <v>104</v>
      </c>
      <c r="AA6" s="2" t="s">
        <v>1263</v>
      </c>
      <c r="AB6" s="2" t="s">
        <v>91</v>
      </c>
      <c r="AC6" s="2" t="s">
        <v>105</v>
      </c>
      <c r="AD6" s="2" t="s">
        <v>92</v>
      </c>
      <c r="AE6" s="2" t="s">
        <v>92</v>
      </c>
      <c r="AF6" s="2"/>
      <c r="AG6" s="2" t="s">
        <v>106</v>
      </c>
      <c r="AH6" s="2">
        <v>0</v>
      </c>
      <c r="AK6">
        <f t="shared" si="6"/>
        <v>1</v>
      </c>
      <c r="AL6">
        <f t="shared" si="0"/>
        <v>0</v>
      </c>
      <c r="AM6">
        <f t="shared" si="1"/>
        <v>0</v>
      </c>
      <c r="AN6">
        <f t="shared" si="2"/>
        <v>1</v>
      </c>
      <c r="AP6">
        <v>2016</v>
      </c>
      <c r="AQ6">
        <f t="shared" si="7"/>
        <v>9</v>
      </c>
      <c r="AR6">
        <f t="shared" si="3"/>
        <v>0</v>
      </c>
      <c r="AS6">
        <f t="shared" si="4"/>
        <v>2</v>
      </c>
      <c r="AT6">
        <f t="shared" si="5"/>
        <v>7</v>
      </c>
      <c r="AY6" t="s">
        <v>1380</v>
      </c>
      <c r="AZ6" cm="1">
        <f t="array" ref="AZ6">SUMPRODUCT(($Y$2:$Y$1000="PS")*(ISNUMBER(FIND(UPPER("prioritization"),UPPER($Z$2:$Z$1000))))*(ISNUMBER(FIND(UPPER("human"),UPPER($AA$2:$AA$1000))))*((ISNUMBER(FIND(UPPER("heuristic"),UPPER($AB$2:$AB$1000))))*(NOT(ISNUMBER(FIND(UPPER("meta"),UPPER($AB$2:$AB$1000)))))))</f>
        <v>0</v>
      </c>
      <c r="BA6" cm="1">
        <f t="array" ref="BA6">SUMPRODUCT(($Y$2:$Y$1000="PS")*(ISNUMBER(FIND(UPPER("prioritization"),UPPER($Z$2:$Z$1000))))*(ISNUMBER(FIND(UPPER("human"),UPPER($AA$2:$AA$1000))))*((ISNUMBER(FIND(UPPER("metaheuristic"),UPPER($AB$2:$AB$1000))))+(ISNUMBER(FIND(UPPER("meta-heuristic"),UPPER($AB$2:$AB$1000))))))</f>
        <v>0</v>
      </c>
      <c r="BB6" cm="1">
        <f t="array" ref="BB6">SUMPRODUCT(($Y$2:$Y$1000="PS")*(ISNUMBER(FIND(UPPER("prioritization"),UPPER($Z$2:$Z$1000))))*(ISNUMBER(FIND(UPPER("human"),UPPER($AA$2:$AA$1000))))*(ISNUMBER(FIND(UPPER("graph"),UPPER($AB$2:$AB$1000)))))</f>
        <v>0</v>
      </c>
      <c r="BC6" cm="1">
        <f t="array" ref="BC6">SUMPRODUCT(($Y$2:$Y$1000="PS")*(ISNUMBER(FIND(UPPER("prioritization"),UPPER($Z$2:$Z$1000))))*(ISNUMBER(FIND(UPPER("human"),UPPER($AA$2:$AA$1000))))*(ISNUMBER(FIND(UPPER("dynamic programming"),UPPER($AB$2:$AB$1000)))))</f>
        <v>0</v>
      </c>
      <c r="BD6" cm="1">
        <f t="array" ref="BD6">SUMPRODUCT(($Y$2:$Y$1000="PS")*(ISNUMBER(FIND(UPPER("prioritization"),UPPER($Z$2:$Z$1000))))*(ISNUMBER(FIND(UPPER("human"),UPPER($AA$2:$AA$1000))))*(ISNUMBER(FIND(UPPER("ml-based"),UPPER($AB$2:$AB$1000)))))</f>
        <v>2</v>
      </c>
      <c r="BE6" cm="1">
        <f t="array" ref="BE6">SUMPRODUCT(($Y$2:$Y$1000="PS")*(ISNUMBER(FIND(UPPER("prioritization"),UPPER($Z$2:$Z$1000))))*(ISNUMBER(FIND(UPPER("human"),UPPER($AA$2:$AA$1000))))*(ISNUMBER(FIND(UPPER("greedy"),UPPER($AB$2:$AB$1000)))))</f>
        <v>0</v>
      </c>
      <c r="BH6" t="s">
        <v>868</v>
      </c>
      <c r="BI6" cm="1">
        <f t="array" ref="BI6">SUMPRODUCT(($Y$2:$Y$1000="PS")*(ISNUMBER(FIND(UPPER("selection"),UPPER($Z$2:$Z$1000))))*(ISNUMBER(FIND(UPPER("graph-walk"),UPPER($AA$2:$AA$1000))))*((ISNUMBER(FIND(UPPER("heuristic"),UPPER($AB$2:$AB$1000))))*(NOT(ISNUMBER(FIND(UPPER("meta"),UPPER($AB$2:$AB$1000)))))))</f>
        <v>0</v>
      </c>
      <c r="BJ6" cm="1">
        <f t="array" ref="BJ6">SUMPRODUCT(($Y$2:$Y$1000="PS")*(ISNUMBER(FIND(UPPER("selection"),UPPER($Z$2:$Z$1000))))*(ISNUMBER(FIND(UPPER("graph-walk"),UPPER($AA$2:$AA$1000))))*((ISNUMBER(FIND(UPPER("metaheuristic"),UPPER($AB$2:$AB$1000))))+(ISNUMBER(FIND(UPPER("meta-heuristic"),UPPER($AB$2:$AB$1000))))))</f>
        <v>1</v>
      </c>
      <c r="BK6" cm="1">
        <f t="array" ref="BK6">SUMPRODUCT(($Y$2:$Y$1000="PS")*(ISNUMBER(FIND(UPPER("selection"),UPPER($Z$2:$Z$1000))))*(ISNUMBER(FIND(UPPER("graph-walk"),UPPER($AA$2:$AA$1000))))*(ISNUMBER(FIND(UPPER("graph"),UPPER($AB$2:$AB$1000)))))</f>
        <v>2</v>
      </c>
      <c r="BL6" cm="1">
        <f t="array" ref="BL6">SUMPRODUCT(($Y$2:$Y$1000="PS")*(ISNUMBER(FIND(UPPER("selection"),UPPER($Z$2:$Z$1000))))*(ISNUMBER(FIND(UPPER("graph-walk"),UPPER($AA$2:$AA$1000))))*(ISNUMBER(FIND(UPPER("dynamic programming"),UPPER($AB$2:$AB$1000)))))</f>
        <v>0</v>
      </c>
      <c r="BM6" cm="1">
        <f t="array" ref="BM6">SUMPRODUCT(($Y$2:$Y$1000="PS")*(ISNUMBER(FIND(UPPER("selection"),UPPER($Z$2:$Z$1000))))*(ISNUMBER(FIND(UPPER("graph-walk"),UPPER($AA$2:$AA$1000))))*(ISNUMBER(FIND(UPPER("ml-based"),UPPER($AB$2:$AB$1000)))))</f>
        <v>0</v>
      </c>
      <c r="BN6" cm="1">
        <f t="array" ref="BN6">SUMPRODUCT(($Y$2:$Y$1000="PS")*(ISNUMBER(FIND(UPPER("selection"),UPPER($Z$2:$Z$1000))))*(ISNUMBER(FIND(UPPER("graph-walk"),UPPER($AA$2:$AA$1000))))*(ISNUMBER(FIND(UPPER("greedy"),UPPER($AB$2:$AB$1000)))))</f>
        <v>0</v>
      </c>
      <c r="BX6" t="s">
        <v>1380</v>
      </c>
      <c r="BY6">
        <v>2</v>
      </c>
      <c r="CD6">
        <v>1</v>
      </c>
      <c r="CE6">
        <v>1</v>
      </c>
      <c r="CG6" t="s">
        <v>868</v>
      </c>
      <c r="CH6">
        <v>2</v>
      </c>
      <c r="CI6">
        <v>2</v>
      </c>
      <c r="CJ6">
        <v>2</v>
      </c>
      <c r="CK6">
        <v>3</v>
      </c>
      <c r="CN6">
        <v>2016</v>
      </c>
      <c r="CO6" cm="1">
        <f t="array" ref="CO6">SUMPRODUCT((Y$2:Y$1000="PS")*(F$2:F$1000=$CN6)*(AH$2:AH$1000=0))</f>
        <v>4</v>
      </c>
      <c r="CP6" cm="1">
        <f t="array" ref="CP6">SUMPRODUCT((Y$2:Y$1000="PS")*(F$2:F$1000=$CN6)*(AH$2:AH$1000=0.5))</f>
        <v>4</v>
      </c>
      <c r="CQ6" cm="1">
        <f t="array" ref="CQ6">SUMPRODUCT((Y$2:Y$1000="PS")*(F$2:F$1000=$CN6)*(AH$2:AH$1000=1))</f>
        <v>1</v>
      </c>
      <c r="CS6" s="38"/>
      <c r="CT6" s="38"/>
      <c r="CV6" t="s">
        <v>1407</v>
      </c>
      <c r="CW6">
        <v>47</v>
      </c>
      <c r="CY6" s="37" t="s">
        <v>1407</v>
      </c>
      <c r="CZ6" s="35">
        <v>8</v>
      </c>
      <c r="DF6" s="34"/>
      <c r="DH6" s="34"/>
      <c r="DI6" s="34"/>
      <c r="FQ6" t="s">
        <v>1272</v>
      </c>
      <c r="FR6" s="35" cm="1">
        <f t="array" ref="FR6">SUMPRODUCT((Y$2:Y$1000="PS")*ISNUMBER(SEARCH(LOWER(FQ6),LOWER(AA$2:AA$1000)))*ISNUMBER(SEARCH("prioritization",LOWER(Z$2:Z$1000))))</f>
        <v>6</v>
      </c>
      <c r="FV6">
        <v>2016</v>
      </c>
      <c r="FW6" s="35" cm="1">
        <f t="array" ref="FW6">SUMPRODUCT((Y$2:Y$1000="PS")*(F$2:F$1000=FV6)*ISNUMBER(SEARCH("prioritization",LOWER(Z$2:Z$1000)))*ISNUMBER(SEARCH("coverage",LOWER(AA$2:AA$1000))))</f>
        <v>3</v>
      </c>
      <c r="FX6" s="35" cm="1">
        <f t="array" ref="FX6">SUMPRODUCT((Y$2:Y$1000="PS")*(F$2:F$1000=FV6)*ISNUMBER(SEARCH("prioritization",LOWER(Z$2:Z$1000)))*ISNUMBER(SEARCH("requirement",LOWER(AA$2:AA$1000))))</f>
        <v>1</v>
      </c>
      <c r="FY6" s="35" cm="1">
        <f t="array" ref="FY6">SUMPRODUCT((Y$2:Y$1000="PS")*(F$2:F$1000=FV6)*ISNUMBER(SEARCH("prioritization",LOWER(Z$2:Z$1000)))*ISNUMBER(SEARCH("probab",LOWER(AA$2:AA$1000))))</f>
        <v>0</v>
      </c>
      <c r="FZ6" s="35" cm="1">
        <f t="array" ref="FZ6">SUMPRODUCT((Y$2:Y$1000="PS")*(F$2:F$1000=FV6)*ISNUMBER(SEARCH("prioritization",LOWER(Z$2:Z$1000)))*ISNUMBER(SEARCH("distribution",LOWER(AA$2:AA$1000))))</f>
        <v>1</v>
      </c>
      <c r="GA6" s="35" cm="1">
        <f t="array" ref="GA6">SUMPRODUCT((Y$2:Y$1000="PS")*(F$2:F$1000=FV6)*ISNUMBER(SEARCH("prioritization",LOWER(Z$2:Z$1000)))*ISNUMBER(SEARCH("clustering",LOWER(AA$2:AA$1000))))</f>
        <v>0</v>
      </c>
      <c r="GB6" s="35" cm="1">
        <f t="array" ref="GB6">SUMPRODUCT((Y$2:Y$1000="PS")*(F$2:F$1000=FV6)*ISNUMBER(SEARCH("prioritization",LOWER(Z$2:Z$1000)))*ISNUMBER(SEARCH("history",LOWER(AA$2:AA$1000))))</f>
        <v>1</v>
      </c>
      <c r="GC6" s="35" cm="1">
        <f t="array" ref="GC6">SUMPRODUCT((Y$2:Y$1000="PS")*(F$2:F$1000=FV6)*ISNUMBER(SEARCH("prioritization",LOWER(Z$2:Z$1000)))*ISNUMBER(SEARCH("model",LOWER(AA$2:AA$1000))))</f>
        <v>0</v>
      </c>
      <c r="GD6" s="35" cm="1">
        <f t="array" ref="GD6">SUMPRODUCT((Y$2:Y$1000="PS")*(F$2:F$1000=FV6)*ISNUMBER(SEARCH("prioritization",LOWER(Z$2:Z$1000)))*ISNUMBER(SEARCH("cost-aware",LOWER(AA$2:AA$1000))))</f>
        <v>0</v>
      </c>
      <c r="GE6" s="35" cm="1">
        <f t="array" ref="GE6">SUMPRODUCT((Y$2:Y$1000="PS")*(F$2:F$1000=FV6)*ISNUMBER(SEARCH("prioritization",LOWER(Z$2:Z$1000)))*ISNUMBER(SEARCH("similarity",LOWER(AA$2:AA$1000))))</f>
        <v>0</v>
      </c>
      <c r="GF6" s="35" cm="1">
        <f t="array" ref="GF6">SUMPRODUCT((Y$2:Y$1000="PS")*(F$2:F$1000=FV6)*ISNUMBER(SEARCH("prioritization",LOWER(Z$2:Z$1000)))*ISNUMBER(SEARCH("input",LOWER(AA$2:AA$1000))))</f>
        <v>0</v>
      </c>
      <c r="GG6" s="35" cm="1">
        <f t="array" ref="GG6">SUMPRODUCT((Y$2:Y$1000="PS")*(F$2:F$1000=FV6)*ISNUMBER(SEARCH("prioritization",LOWER(Z$2:Z$1000)))*ISNUMBER(SEARCH("structure",LOWER(AA$2:AA$1000))))</f>
        <v>0</v>
      </c>
      <c r="GH6" s="35" cm="1">
        <f t="array" ref="GH6">SUMPRODUCT((Y$2:Y$1000="PS")*(F$2:F$1000=FV6)*ISNUMBER(SEARCH("prioritization",LOWER(Z$2:Z$1000)))*ISNUMBER(SEARCH("change",LOWER(AA$2:AA$1000))))</f>
        <v>0</v>
      </c>
      <c r="GI6" s="35" cm="1">
        <f t="array" ref="GI6">SUMPRODUCT((Y$2:Y$1000="PS")*(F$2:F$1000=FV6)*ISNUMBER(SEARCH("prioritization",LOWER(Z$2:Z$1000)))*ISNUMBER(SEARCH("ml",LOWER(AA$2:AA$1000))))</f>
        <v>0</v>
      </c>
      <c r="GJ6" s="35" cm="1">
        <f t="array" ref="GJ6">SUMPRODUCT((Y$2:Y$1000="PS")*(F$2:F$1000=FV6)*ISNUMBER(SEARCH("prioritization",LOWER(Z$2:Z$1000)))*ISNUMBER(SEARCH("heuristic",LOWER(AA$2:AA$1000))))</f>
        <v>0</v>
      </c>
      <c r="GK6" s="35" cm="1">
        <f t="array" ref="GK6">SUMPRODUCT((Y$2:Y$1000="PS")*(F$2:F$1000=FV6)*ISNUMBER(SEARCH("prioritization",LOWER(Z$2:Z$1000)))*ISNUMBER(SEARCH("search",LOWER(AA$2:AA$1000))))</f>
        <v>0</v>
      </c>
      <c r="GL6" s="35" cm="1">
        <f t="array" ref="GL6">SUMPRODUCT((Y$2:Y$1000="PS")*(F$2:F$1000=FV6)*ISNUMBER(SEARCH("prioritization",LOWER(Z$2:Z$1000)))*ISNUMBER(SEARCH("transfer",LOWER(AA$2:AA$1000))))</f>
        <v>0</v>
      </c>
      <c r="GM6" s="35" cm="1">
        <f t="array" ref="GM6">SUMPRODUCT((Y$2:Y$1000="PS")*(F$2:F$1000=FV6)*ISNUMBER(SEARCH("prioritization",LOWER(Z$2:Z$1000)))*ISNUMBER(SEARCH("riski",LOWER(AA$2:AA$1000))))</f>
        <v>0</v>
      </c>
      <c r="GN6" s="35" cm="1">
        <f t="array" ref="GN6">SUMPRODUCT((Y$2:Y$1000="PS")*(F$2:F$1000=FV6)*ISNUMBER(SEARCH("prioritization",LOWER(Z$2:Z$1000)))*ISNUMBER(SEARCH("nlp",LOWER(AA$2:AA$1000))))</f>
        <v>0</v>
      </c>
      <c r="GO6" s="35" cm="1">
        <f t="array" ref="GO6">SUMPRODUCT((Y$2:Y$1000="PS")*(F$2:F$1000=FV6)*ISNUMBER(SEARCH("prioritization",LOWER(Z$2:Z$1000)))*ISNUMBER(SEARCH("design",LOWER(AA$2:AA$1000))))</f>
        <v>0</v>
      </c>
      <c r="GP6" s="35" cm="1">
        <f t="array" ref="GP6">SUMPRODUCT((Y$2:Y$1000="PS")*(F$2:F$1000=FV6)*ISNUMBER(SEARCH("prioritization",LOWER(Z$2:Z$1000)))*ISNUMBER(SEARCH("other",LOWER(AA$2:AA$1000))))</f>
        <v>0</v>
      </c>
      <c r="GQ6">
        <f t="shared" si="8"/>
        <v>0</v>
      </c>
      <c r="GZ6">
        <v>2016</v>
      </c>
      <c r="HA6" cm="1">
        <f t="array" ref="HA6">SUMPRODUCT((Y$2:Y$1000="PS")*(F$2:F$1000=GZ6)*ISNUMBER(SEARCH("prioritization",LOWER(Z$2:Z$1000)))*ISNUMBER(SEARCH(LOWER("metaheuristic"),LOWER(AB$2:AB$1000))))</f>
        <v>0</v>
      </c>
      <c r="HB6" cm="1">
        <f t="array" ref="HB6">SUMPRODUCT((Y$2:Y$1000="PS")*(F$2:F$1000=GZ6)*ISNUMBER(SEARCH("prioritization",LOWER(Z$2:Z$1000)))*ISNUMBER(SEARCH(LOWER("search"),LOWER(AB$2:AB$1000))))</f>
        <v>0</v>
      </c>
      <c r="HC6" cm="1">
        <f t="array" ref="HC6">SUMPRODUCT((Y$2:Y$1000="PS")*(F$2:F$1000=GZ6)*ISNUMBER(SEARCH("prioritization",LOWER(Z$2:Z$1000)))*ISNUMBER(SEARCH(LOWER("heuristic"),LOWER(AB$2:AB$1000))))</f>
        <v>4</v>
      </c>
      <c r="HD6" cm="1">
        <f t="array" ref="HD6">SUMPRODUCT((Y$2:Y$1000="PS")*(F$2:F$1000=GZ6)*ISNUMBER(SEARCH("prioritization",LOWER(Z$2:Z$1000)))*ISNUMBER(SEARCH(LOWER("ml"),LOWER(AB$2:AB$1000))))</f>
        <v>1</v>
      </c>
      <c r="HE6" cm="1">
        <f t="array" ref="HE6">SUMPRODUCT((Y$2:Y$1000="PS")*(F$2:F$1000=GZ6)*ISNUMBER(SEARCH("prioritization",LOWER(Z$2:Z$1000)))*ISNUMBER(SEARCH(LOWER("rule"),LOWER(AB$2:AB$1000))))</f>
        <v>0</v>
      </c>
      <c r="HF6" cm="1">
        <f t="array" ref="HF6">SUMPRODUCT((Y$2:Y$1000="PS")*(F$2:F$1000=GZ6)*ISNUMBER(SEARCH("prioritization",LOWER(Z$2:Z$1000)))*ISNUMBER(SEARCH(LOWER(HF$2),LOWER(AB$2:AB$1000))))</f>
        <v>0</v>
      </c>
      <c r="HG6" cm="1">
        <f t="array" ref="HG6">SUMPRODUCT((Y$2:Y$1000="PS")*(F$2:F$1000=GZ6)*ISNUMBER(SEARCH("prioritization",LOWER(Z$2:Z$1000)))*ISNUMBER(SEARCH(LOWER("model"),LOWER(AB$2:AB$1000))))</f>
        <v>0</v>
      </c>
      <c r="HH6" cm="1">
        <f t="array" ref="HH6">SUMPRODUCT((Y$2:Y$1000="PS")*(F$2:F$1000=GZ6)*ISNUMBER(SEARCH("prioritization",LOWER(Z$2:Z$1000)))*ISNUMBER(SEARCH(LOWER(HH$2),LOWER(AB$2:AB$1000))))</f>
        <v>0</v>
      </c>
      <c r="HI6" cm="1">
        <f t="array" ref="HI6">SUMPRODUCT((Y$2:Y$1000="PS")*(F$2:F$1000=GZ6)*ISNUMBER(SEARCH("prioritization",LOWER(Z$2:Z$1000)))*ISNUMBER(SEARCH(LOWER("quantum"),LOWER(AB$2:AB$1000))))</f>
        <v>0</v>
      </c>
      <c r="HJ6" cm="1">
        <f t="array" ref="HJ6">SUMPRODUCT((Y$2:Y$1000="PS")*(F$2:F$1000=GZ6)*ISNUMBER(SEARCH("prioritization",LOWER(Z$2:Z$1000)))*ISNUMBER(SEARCH(LOWER("genetic"),LOWER(AB$2:AB$1000))))</f>
        <v>0</v>
      </c>
      <c r="HK6" cm="1">
        <f t="array" ref="HK6">SUMPRODUCT((Y$2:Y$1000="PS")*(F$2:F$1000=GZ6)*ISNUMBER(SEARCH("prioritization",LOWER(Z$2:Z$1000)))*ISNUMBER(SEARCH(LOWER("graph"),LOWER(AB$2:AB$1000))))</f>
        <v>0</v>
      </c>
      <c r="HL6" cm="1">
        <f t="array" ref="HL6">SUMPRODUCT((Y$2:Y$1000="PS")*(F$2:F$1000=GZ6)*ISNUMBER(SEARCH("prioritization",LOWER(Z$2:Z$1000)))*ISNUMBER(SEARCH(LOWER("greedy"),LOWER(AB$2:AB$1000))))</f>
        <v>3</v>
      </c>
      <c r="HM6" cm="1">
        <f t="array" ref="HM6">SUMPRODUCT((Y$2:Y$1000="PS")*(F$2:F$1000=GZ6)*ISNUMBER(SEARCH("prioritization",LOWER(Z$2:Z$1000)))*ISNUMBER(SEARCH(LOWER("dynamic"),LOWER(AB$2:AB$1000))))</f>
        <v>0</v>
      </c>
    </row>
    <row r="7" spans="1:221" ht="409.6">
      <c r="A7" s="2">
        <v>7809434</v>
      </c>
      <c r="B7" s="2" t="s">
        <v>34</v>
      </c>
      <c r="C7" s="2" t="s">
        <v>95</v>
      </c>
      <c r="D7" s="2" t="s">
        <v>107</v>
      </c>
      <c r="E7" s="2" t="s">
        <v>108</v>
      </c>
      <c r="F7" s="2">
        <v>2016</v>
      </c>
      <c r="G7" s="2"/>
      <c r="H7" s="2"/>
      <c r="I7" s="2" t="s">
        <v>109</v>
      </c>
      <c r="J7" s="2" t="s">
        <v>110</v>
      </c>
      <c r="K7" s="2" t="s">
        <v>111</v>
      </c>
      <c r="L7" s="2" t="s">
        <v>112</v>
      </c>
      <c r="M7" s="2"/>
      <c r="N7" s="2" t="s">
        <v>75</v>
      </c>
      <c r="O7" s="2"/>
      <c r="P7" s="2"/>
      <c r="Q7" s="2"/>
      <c r="R7" s="2"/>
      <c r="S7" s="2"/>
      <c r="T7" s="2"/>
      <c r="U7" s="2"/>
      <c r="V7" s="2"/>
      <c r="W7" s="2"/>
      <c r="X7" s="2" t="s">
        <v>113</v>
      </c>
      <c r="Y7" s="2" t="s">
        <v>58</v>
      </c>
      <c r="Z7" s="2" t="s">
        <v>89</v>
      </c>
      <c r="AA7" s="2" t="s">
        <v>114</v>
      </c>
      <c r="AB7" s="2" t="s">
        <v>1372</v>
      </c>
      <c r="AC7" s="2" t="s">
        <v>115</v>
      </c>
      <c r="AD7" s="2" t="s">
        <v>116</v>
      </c>
      <c r="AE7" s="2" t="s">
        <v>117</v>
      </c>
      <c r="AF7" s="2" t="s">
        <v>65</v>
      </c>
      <c r="AG7" s="2" t="s">
        <v>118</v>
      </c>
      <c r="AH7" s="2">
        <v>0.5</v>
      </c>
      <c r="AK7">
        <f t="shared" si="6"/>
        <v>1</v>
      </c>
      <c r="AL7">
        <f t="shared" si="0"/>
        <v>0</v>
      </c>
      <c r="AM7">
        <f t="shared" si="1"/>
        <v>0</v>
      </c>
      <c r="AN7">
        <f t="shared" si="2"/>
        <v>1</v>
      </c>
      <c r="AP7">
        <v>2017</v>
      </c>
      <c r="AQ7">
        <f t="shared" si="7"/>
        <v>7</v>
      </c>
      <c r="AR7">
        <f t="shared" si="3"/>
        <v>0</v>
      </c>
      <c r="AS7">
        <f t="shared" si="4"/>
        <v>3</v>
      </c>
      <c r="AT7">
        <f t="shared" si="5"/>
        <v>6</v>
      </c>
      <c r="AY7" t="s">
        <v>1320</v>
      </c>
      <c r="AZ7" cm="1">
        <f t="array" ref="AZ7">SUMPRODUCT(($Y$2:$Y$1000="PS")*(ISNUMBER(FIND(UPPER("prioritization"),UPPER($Z$2:$Z$1000))))*(ISNUMBER(FIND(UPPER("clustering"),UPPER($AA$2:$AA$1000))))*((ISNUMBER(FIND(UPPER("heuristic"),UPPER($AB$2:$AB$1000))))*(NOT(ISNUMBER(FIND(UPPER("meta"),UPPER($AB$2:$AB$1000)))))))</f>
        <v>2</v>
      </c>
      <c r="BA7" cm="1">
        <f t="array" ref="BA7">SUMPRODUCT(($Y$2:$Y$1000="PS")*(ISNUMBER(FIND(UPPER("prioritization"),UPPER($Z$2:$Z$1000))))*(ISNUMBER(FIND(UPPER("clustering"),UPPER($AA$2:$AA$1000))))*((ISNUMBER(FIND(UPPER("metaheuristic"),UPPER($AB$2:$AB$1000))))+(ISNUMBER(FIND(UPPER("meta-heuristic"),UPPER($AB$2:$AB$1000))))))</f>
        <v>0</v>
      </c>
      <c r="BB7" cm="1">
        <f t="array" ref="BB7">SUMPRODUCT(($Y$2:$Y$1000="PS")*(ISNUMBER(FIND(UPPER("prioritization"),UPPER($Z$2:$Z$1000))))*(ISNUMBER(FIND(UPPER("clustering"),UPPER($AA$2:$AA$1000))))*(ISNUMBER(FIND(UPPER("graph"),UPPER($AB$2:$AB$1000)))))</f>
        <v>0</v>
      </c>
      <c r="BC7" cm="1">
        <f t="array" ref="BC7">SUMPRODUCT(($Y$2:$Y$1000="PS")*(ISNUMBER(FIND(UPPER("prioritization"),UPPER($Z$2:$Z$1000))))*(ISNUMBER(FIND(UPPER("clustering"),UPPER($AA$2:$AA$1000))))*(ISNUMBER(FIND(UPPER("dynamic programming"),UPPER($AB$2:$AB$1000)))))</f>
        <v>0</v>
      </c>
      <c r="BD7" cm="1">
        <f t="array" ref="BD7">SUMPRODUCT(($Y$2:$Y$1000="PS")*(ISNUMBER(FIND(UPPER("prioritization"),UPPER($Z$2:$Z$1000))))*(ISNUMBER(FIND(UPPER("clustering"),UPPER($AA$2:$AA$1000))))*(ISNUMBER(FIND(UPPER("ml-based"),UPPER($AB$2:$AB$1000)))))</f>
        <v>0</v>
      </c>
      <c r="BE7" cm="1">
        <f t="array" ref="BE7">SUMPRODUCT(($Y$2:$Y$1000="PS")*(ISNUMBER(FIND(UPPER("prioritization"),UPPER($Z$2:$Z$1000))))*(ISNUMBER(FIND(UPPER("clustering"),UPPER($AA$2:$AA$1000))))*(ISNUMBER(FIND(UPPER("greedy"),UPPER($AB$2:$AB$1000)))))</f>
        <v>0</v>
      </c>
      <c r="BH7" t="s">
        <v>1330</v>
      </c>
      <c r="BI7" cm="1">
        <f t="array" ref="BI7">SUMPRODUCT(($Y$2:$Y$1000="PS")*(ISNUMBER(FIND(UPPER("selection"),UPPER($Z$2:$Z$1000))))*(ISNUMBER(FIND(UPPER("textual difference"),UPPER($AA$2:$AA$1000))))*((ISNUMBER(FIND(UPPER("heuristic"),UPPER($AB$2:$AB$1000))))*(NOT(ISNUMBER(FIND(UPPER("meta"),UPPER($AB$2:$AB$1000)))))))</f>
        <v>0</v>
      </c>
      <c r="BJ7" cm="1">
        <f t="array" ref="BJ7">SUMPRODUCT(($Y$2:$Y$1000="PS")*(ISNUMBER(FIND(UPPER("selection"),UPPER($Z$2:$Z$1000))))*(ISNUMBER(FIND(UPPER("textual difference"),UPPER($AA$2:$AA$1000))))*((ISNUMBER(FIND(UPPER("metaheuristic"),UPPER($AB$2:$AB$1000))))+(ISNUMBER(FIND(UPPER("meta-heuristic"),UPPER($AB$2:$AB$1000))))))</f>
        <v>0</v>
      </c>
      <c r="BK7" cm="1">
        <f t="array" ref="BK7">SUMPRODUCT(($Y$2:$Y$1000="PS")*(ISNUMBER(FIND(UPPER("selection"),UPPER($Z$2:$Z$1000))))*(ISNUMBER(FIND(UPPER("textual difference"),UPPER($AA$2:$AA$1000))))*(ISNUMBER(FIND(UPPER("graph"),UPPER($AB$2:$AB$1000)))))</f>
        <v>0</v>
      </c>
      <c r="BL7" cm="1">
        <f t="array" ref="BL7">SUMPRODUCT(($Y$2:$Y$1000="PS")*(ISNUMBER(FIND(UPPER("selection"),UPPER($Z$2:$Z$1000))))*(ISNUMBER(FIND(UPPER("textual difference"),UPPER($AA$2:$AA$1000))))*(ISNUMBER(FIND(UPPER("dynamic programming"),UPPER($AB$2:$AB$1000)))))</f>
        <v>0</v>
      </c>
      <c r="BM7" cm="1">
        <f t="array" ref="BM7">SUMPRODUCT(($Y$2:$Y$1000="PS")*(ISNUMBER(FIND(UPPER("selection"),UPPER($Z$2:$Z$1000))))*(ISNUMBER(FIND(UPPER("textual difference"),UPPER($AA$2:$AA$1000))))*(ISNUMBER(FIND(UPPER("ml-based"),UPPER($AB$2:$AB$1000)))))</f>
        <v>0</v>
      </c>
      <c r="BN7" cm="1">
        <f t="array" ref="BN7">SUMPRODUCT(($Y$2:$Y$1000="PS")*(ISNUMBER(FIND(UPPER("selection"),UPPER($Z$2:$Z$1000))))*(ISNUMBER(FIND(UPPER("textual difference"),UPPER($AA$2:$AA$1000))))*(ISNUMBER(FIND(UPPER("greedy"),UPPER($AB$2:$AB$1000)))))</f>
        <v>0</v>
      </c>
      <c r="BX7" t="s">
        <v>1320</v>
      </c>
      <c r="BY7">
        <v>2</v>
      </c>
      <c r="CD7">
        <v>2</v>
      </c>
      <c r="CE7">
        <v>1</v>
      </c>
      <c r="CG7" t="s">
        <v>1330</v>
      </c>
      <c r="CN7">
        <v>2017</v>
      </c>
      <c r="CO7" cm="1">
        <f t="array" ref="CO7">SUMPRODUCT((Y$2:Y$1000="PS")*(F$2:F$1000=$CN7)*(AH$2:AH$1000=0))</f>
        <v>6</v>
      </c>
      <c r="CP7" cm="1">
        <f t="array" ref="CP7">SUMPRODUCT((Y$2:Y$1000="PS")*(F$2:F$1000=$CN7)*(AH$2:AH$1000=0.5))</f>
        <v>0</v>
      </c>
      <c r="CQ7" cm="1">
        <f t="array" ref="CQ7">SUMPRODUCT((Y$2:Y$1000="PS")*(F$2:F$1000=$CN7)*(AH$2:AH$1000=1))</f>
        <v>1</v>
      </c>
      <c r="CS7" s="38"/>
      <c r="CT7" s="38"/>
      <c r="CZ7" s="34"/>
      <c r="DF7" s="34"/>
      <c r="DH7" s="34"/>
      <c r="DI7" s="34"/>
      <c r="FQ7" t="s">
        <v>1273</v>
      </c>
      <c r="FR7" s="35" cm="1">
        <f t="array" ref="FR7">SUMPRODUCT((Y$2:Y$1000="PS")*ISNUMBER(SEARCH(LOWER(FQ7),LOWER(AA$2:AA$1000)))*ISNUMBER(SEARCH("prioritization",LOWER(Z$2:Z$1000))))</f>
        <v>2</v>
      </c>
      <c r="FV7">
        <v>2017</v>
      </c>
      <c r="FW7" s="35" cm="1">
        <f t="array" ref="FW7">SUMPRODUCT((Y$2:Y$1000="PS")*(F$2:F$1000=FV7)*ISNUMBER(SEARCH("prioritization",LOWER(Z$2:Z$1000)))*ISNUMBER(SEARCH("coverage",LOWER(AA$2:AA$1000))))</f>
        <v>3</v>
      </c>
      <c r="FX7" s="35" cm="1">
        <f t="array" ref="FX7">SUMPRODUCT((Y$2:Y$1000="PS")*(F$2:F$1000=FV7)*ISNUMBER(SEARCH("prioritization",LOWER(Z$2:Z$1000)))*ISNUMBER(SEARCH("requirement",LOWER(AA$2:AA$1000))))</f>
        <v>0</v>
      </c>
      <c r="FY7" s="35" cm="1">
        <f t="array" ref="FY7">SUMPRODUCT((Y$2:Y$1000="PS")*(F$2:F$1000=FV7)*ISNUMBER(SEARCH("prioritization",LOWER(Z$2:Z$1000)))*ISNUMBER(SEARCH("probab",LOWER(AA$2:AA$1000))))</f>
        <v>0</v>
      </c>
      <c r="FZ7" s="35" cm="1">
        <f t="array" ref="FZ7">SUMPRODUCT((Y$2:Y$1000="PS")*(F$2:F$1000=FV7)*ISNUMBER(SEARCH("prioritization",LOWER(Z$2:Z$1000)))*ISNUMBER(SEARCH("distribution",LOWER(AA$2:AA$1000))))</f>
        <v>1</v>
      </c>
      <c r="GA7" s="35" cm="1">
        <f t="array" ref="GA7">SUMPRODUCT((Y$2:Y$1000="PS")*(F$2:F$1000=FV7)*ISNUMBER(SEARCH("prioritization",LOWER(Z$2:Z$1000)))*ISNUMBER(SEARCH("clustering",LOWER(AA$2:AA$1000))))</f>
        <v>0</v>
      </c>
      <c r="GB7" s="35" cm="1">
        <f t="array" ref="GB7">SUMPRODUCT((Y$2:Y$1000="PS")*(F$2:F$1000=FV7)*ISNUMBER(SEARCH("prioritization",LOWER(Z$2:Z$1000)))*ISNUMBER(SEARCH("history",LOWER(AA$2:AA$1000))))</f>
        <v>3</v>
      </c>
      <c r="GC7" s="35" cm="1">
        <f t="array" ref="GC7">SUMPRODUCT((Y$2:Y$1000="PS")*(F$2:F$1000=FV7)*ISNUMBER(SEARCH("prioritization",LOWER(Z$2:Z$1000)))*ISNUMBER(SEARCH("model",LOWER(AA$2:AA$1000))))</f>
        <v>0</v>
      </c>
      <c r="GD7" s="35" cm="1">
        <f t="array" ref="GD7">SUMPRODUCT((Y$2:Y$1000="PS")*(F$2:F$1000=FV7)*ISNUMBER(SEARCH("prioritization",LOWER(Z$2:Z$1000)))*ISNUMBER(SEARCH("cost-aware",LOWER(AA$2:AA$1000))))</f>
        <v>1</v>
      </c>
      <c r="GE7" s="35" cm="1">
        <f t="array" ref="GE7">SUMPRODUCT((Y$2:Y$1000="PS")*(F$2:F$1000=FV7)*ISNUMBER(SEARCH("prioritization",LOWER(Z$2:Z$1000)))*ISNUMBER(SEARCH("similarity",LOWER(AA$2:AA$1000))))</f>
        <v>0</v>
      </c>
      <c r="GF7" s="35" cm="1">
        <f t="array" ref="GF7">SUMPRODUCT((Y$2:Y$1000="PS")*(F$2:F$1000=FV7)*ISNUMBER(SEARCH("prioritization",LOWER(Z$2:Z$1000)))*ISNUMBER(SEARCH("input",LOWER(AA$2:AA$1000))))</f>
        <v>0</v>
      </c>
      <c r="GG7" s="35" cm="1">
        <f t="array" ref="GG7">SUMPRODUCT((Y$2:Y$1000="PS")*(F$2:F$1000=FV7)*ISNUMBER(SEARCH("prioritization",LOWER(Z$2:Z$1000)))*ISNUMBER(SEARCH("structure",LOWER(AA$2:AA$1000))))</f>
        <v>0</v>
      </c>
      <c r="GH7" s="35" cm="1">
        <f t="array" ref="GH7">SUMPRODUCT((Y$2:Y$1000="PS")*(F$2:F$1000=FV7)*ISNUMBER(SEARCH("prioritization",LOWER(Z$2:Z$1000)))*ISNUMBER(SEARCH("change",LOWER(AA$2:AA$1000))))</f>
        <v>0</v>
      </c>
      <c r="GI7" s="35" cm="1">
        <f t="array" ref="GI7">SUMPRODUCT((Y$2:Y$1000="PS")*(F$2:F$1000=FV7)*ISNUMBER(SEARCH("prioritization",LOWER(Z$2:Z$1000)))*ISNUMBER(SEARCH("ml",LOWER(AA$2:AA$1000))))</f>
        <v>0</v>
      </c>
      <c r="GJ7" s="35" cm="1">
        <f t="array" ref="GJ7">SUMPRODUCT((Y$2:Y$1000="PS")*(F$2:F$1000=FV7)*ISNUMBER(SEARCH("prioritization",LOWER(Z$2:Z$1000)))*ISNUMBER(SEARCH("heuristic",LOWER(AA$2:AA$1000))))</f>
        <v>0</v>
      </c>
      <c r="GK7" s="35" cm="1">
        <f t="array" ref="GK7">SUMPRODUCT((Y$2:Y$1000="PS")*(F$2:F$1000=FV7)*ISNUMBER(SEARCH("prioritization",LOWER(Z$2:Z$1000)))*ISNUMBER(SEARCH("search",LOWER(AA$2:AA$1000))))</f>
        <v>0</v>
      </c>
      <c r="GL7" s="35" cm="1">
        <f t="array" ref="GL7">SUMPRODUCT((Y$2:Y$1000="PS")*(F$2:F$1000=FV7)*ISNUMBER(SEARCH("prioritization",LOWER(Z$2:Z$1000)))*ISNUMBER(SEARCH("transfer",LOWER(AA$2:AA$1000))))</f>
        <v>0</v>
      </c>
      <c r="GM7" s="35" cm="1">
        <f t="array" ref="GM7">SUMPRODUCT((Y$2:Y$1000="PS")*(F$2:F$1000=FV7)*ISNUMBER(SEARCH("prioritization",LOWER(Z$2:Z$1000)))*ISNUMBER(SEARCH("riski",LOWER(AA$2:AA$1000))))</f>
        <v>0</v>
      </c>
      <c r="GN7" s="35" cm="1">
        <f t="array" ref="GN7">SUMPRODUCT((Y$2:Y$1000="PS")*(F$2:F$1000=FV7)*ISNUMBER(SEARCH("prioritization",LOWER(Z$2:Z$1000)))*ISNUMBER(SEARCH("nlp",LOWER(AA$2:AA$1000))))</f>
        <v>0</v>
      </c>
      <c r="GO7" s="35" cm="1">
        <f t="array" ref="GO7">SUMPRODUCT((Y$2:Y$1000="PS")*(F$2:F$1000=FV7)*ISNUMBER(SEARCH("prioritization",LOWER(Z$2:Z$1000)))*ISNUMBER(SEARCH("design",LOWER(AA$2:AA$1000))))</f>
        <v>0</v>
      </c>
      <c r="GP7" s="35" cm="1">
        <f t="array" ref="GP7">SUMPRODUCT((Y$2:Y$1000="PS")*(F$2:F$1000=FV7)*ISNUMBER(SEARCH("prioritization",LOWER(Z$2:Z$1000)))*ISNUMBER(SEARCH("other",LOWER(AA$2:AA$1000))))</f>
        <v>0</v>
      </c>
      <c r="GQ7">
        <f t="shared" si="8"/>
        <v>0</v>
      </c>
      <c r="GZ7">
        <v>2017</v>
      </c>
      <c r="HA7" cm="1">
        <f t="array" ref="HA7">SUMPRODUCT((Y$2:Y$1000="PS")*(F$2:F$1000=GZ7)*ISNUMBER(SEARCH("prioritization",LOWER(Z$2:Z$1000)))*ISNUMBER(SEARCH(LOWER("metaheuristic"),LOWER(AB$2:AB$1000))))</f>
        <v>0</v>
      </c>
      <c r="HB7" cm="1">
        <f t="array" ref="HB7">SUMPRODUCT((Y$2:Y$1000="PS")*(F$2:F$1000=GZ7)*ISNUMBER(SEARCH("prioritization",LOWER(Z$2:Z$1000)))*ISNUMBER(SEARCH(LOWER("search"),LOWER(AB$2:AB$1000))))</f>
        <v>0</v>
      </c>
      <c r="HC7" cm="1">
        <f t="array" ref="HC7">SUMPRODUCT((Y$2:Y$1000="PS")*(F$2:F$1000=GZ7)*ISNUMBER(SEARCH("prioritization",LOWER(Z$2:Z$1000)))*ISNUMBER(SEARCH(LOWER("heuristic"),LOWER(AB$2:AB$1000))))</f>
        <v>3</v>
      </c>
      <c r="HD7" cm="1">
        <f t="array" ref="HD7">SUMPRODUCT((Y$2:Y$1000="PS")*(F$2:F$1000=GZ7)*ISNUMBER(SEARCH("prioritization",LOWER(Z$2:Z$1000)))*ISNUMBER(SEARCH(LOWER("ml"),LOWER(AB$2:AB$1000))))</f>
        <v>1</v>
      </c>
      <c r="HE7" cm="1">
        <f t="array" ref="HE7">SUMPRODUCT((Y$2:Y$1000="PS")*(F$2:F$1000=GZ7)*ISNUMBER(SEARCH("prioritization",LOWER(Z$2:Z$1000)))*ISNUMBER(SEARCH(LOWER("rule"),LOWER(AB$2:AB$1000))))</f>
        <v>0</v>
      </c>
      <c r="HF7" cm="1">
        <f t="array" ref="HF7">SUMPRODUCT((Y$2:Y$1000="PS")*(F$2:F$1000=GZ7)*ISNUMBER(SEARCH("prioritization",LOWER(Z$2:Z$1000)))*ISNUMBER(SEARCH(LOWER(HF$2),LOWER(AB$2:AB$1000))))</f>
        <v>0</v>
      </c>
      <c r="HG7" cm="1">
        <f t="array" ref="HG7">SUMPRODUCT((Y$2:Y$1000="PS")*(F$2:F$1000=GZ7)*ISNUMBER(SEARCH("prioritization",LOWER(Z$2:Z$1000)))*ISNUMBER(SEARCH(LOWER("model"),LOWER(AB$2:AB$1000))))</f>
        <v>0</v>
      </c>
      <c r="HH7" cm="1">
        <f t="array" ref="HH7">SUMPRODUCT((Y$2:Y$1000="PS")*(F$2:F$1000=GZ7)*ISNUMBER(SEARCH("prioritization",LOWER(Z$2:Z$1000)))*ISNUMBER(SEARCH(LOWER(HH$2),LOWER(AB$2:AB$1000))))</f>
        <v>0</v>
      </c>
      <c r="HI7" cm="1">
        <f t="array" ref="HI7">SUMPRODUCT((Y$2:Y$1000="PS")*(F$2:F$1000=GZ7)*ISNUMBER(SEARCH("prioritization",LOWER(Z$2:Z$1000)))*ISNUMBER(SEARCH(LOWER("quantum"),LOWER(AB$2:AB$1000))))</f>
        <v>0</v>
      </c>
      <c r="HJ7" cm="1">
        <f t="array" ref="HJ7">SUMPRODUCT((Y$2:Y$1000="PS")*(F$2:F$1000=GZ7)*ISNUMBER(SEARCH("prioritization",LOWER(Z$2:Z$1000)))*ISNUMBER(SEARCH(LOWER("genetic"),LOWER(AB$2:AB$1000))))</f>
        <v>0</v>
      </c>
      <c r="HK7" cm="1">
        <f t="array" ref="HK7">SUMPRODUCT((Y$2:Y$1000="PS")*(F$2:F$1000=GZ7)*ISNUMBER(SEARCH("prioritization",LOWER(Z$2:Z$1000)))*ISNUMBER(SEARCH(LOWER("graph"),LOWER(AB$2:AB$1000))))</f>
        <v>0</v>
      </c>
      <c r="HL7" cm="1">
        <f t="array" ref="HL7">SUMPRODUCT((Y$2:Y$1000="PS")*(F$2:F$1000=GZ7)*ISNUMBER(SEARCH("prioritization",LOWER(Z$2:Z$1000)))*ISNUMBER(SEARCH(LOWER("greedy"),LOWER(AB$2:AB$1000))))</f>
        <v>2</v>
      </c>
      <c r="HM7" cm="1">
        <f t="array" ref="HM7">SUMPRODUCT((Y$2:Y$1000="PS")*(F$2:F$1000=GZ7)*ISNUMBER(SEARCH("prioritization",LOWER(Z$2:Z$1000)))*ISNUMBER(SEARCH(LOWER("dynamic"),LOWER(AB$2:AB$1000))))</f>
        <v>0</v>
      </c>
    </row>
    <row r="8" spans="1:221" ht="409.6">
      <c r="A8" s="2">
        <v>6571611</v>
      </c>
      <c r="B8" s="2" t="s">
        <v>34</v>
      </c>
      <c r="C8" s="2" t="s">
        <v>119</v>
      </c>
      <c r="D8" s="2" t="s">
        <v>120</v>
      </c>
      <c r="E8" s="2" t="s">
        <v>121</v>
      </c>
      <c r="F8" s="2">
        <v>2013</v>
      </c>
      <c r="G8" s="2"/>
      <c r="H8" s="2"/>
      <c r="I8" s="2" t="s">
        <v>122</v>
      </c>
      <c r="J8" s="2" t="s">
        <v>123</v>
      </c>
      <c r="K8" s="2" t="s">
        <v>124</v>
      </c>
      <c r="L8" s="2" t="s">
        <v>125</v>
      </c>
      <c r="M8" s="2"/>
      <c r="N8" s="2" t="s">
        <v>126</v>
      </c>
      <c r="O8" s="2"/>
      <c r="P8" s="2"/>
      <c r="Q8" s="2"/>
      <c r="R8" s="2"/>
      <c r="S8" s="2"/>
      <c r="T8" s="2"/>
      <c r="U8" s="2"/>
      <c r="V8" s="2"/>
      <c r="W8" s="2"/>
      <c r="X8" s="2" t="s">
        <v>127</v>
      </c>
      <c r="Y8" s="2" t="s">
        <v>58</v>
      </c>
      <c r="Z8" s="2" t="s">
        <v>128</v>
      </c>
      <c r="AA8" s="2" t="s">
        <v>129</v>
      </c>
      <c r="AB8" s="2" t="s">
        <v>130</v>
      </c>
      <c r="AC8" s="2" t="s">
        <v>131</v>
      </c>
      <c r="AD8" s="2"/>
      <c r="AE8" s="2"/>
      <c r="AF8" s="2"/>
      <c r="AG8" s="2" t="s">
        <v>1391</v>
      </c>
      <c r="AH8" s="2"/>
      <c r="AK8">
        <f t="shared" si="6"/>
        <v>1</v>
      </c>
      <c r="AL8">
        <f t="shared" si="0"/>
        <v>0</v>
      </c>
      <c r="AM8">
        <f t="shared" si="1"/>
        <v>1</v>
      </c>
      <c r="AN8">
        <f t="shared" si="2"/>
        <v>0</v>
      </c>
      <c r="AP8">
        <v>2018</v>
      </c>
      <c r="AQ8">
        <f t="shared" si="7"/>
        <v>13</v>
      </c>
      <c r="AR8">
        <f t="shared" si="3"/>
        <v>0</v>
      </c>
      <c r="AS8">
        <f t="shared" si="4"/>
        <v>4</v>
      </c>
      <c r="AT8">
        <f t="shared" si="5"/>
        <v>8</v>
      </c>
      <c r="AY8" t="s">
        <v>114</v>
      </c>
      <c r="AZ8" cm="1">
        <f t="array" ref="AZ8">SUMPRODUCT(($Y$2:$Y$1000="PS")*(ISNUMBER(FIND(UPPER("prioritization"),UPPER($Z$2:$Z$1000))))*(ISNUMBER(FIND(UPPER("history"),UPPER($AA$2:$AA$1000))))*((ISNUMBER(FIND(UPPER("heuristic"),UPPER($AB$2:$AB$1000))))*(NOT(ISNUMBER(FIND(UPPER("meta"),UPPER($AB$2:$AB$1000)))))))</f>
        <v>11</v>
      </c>
      <c r="BA8" cm="1">
        <f t="array" ref="BA8">SUMPRODUCT(($Y$2:$Y$1000="PS")*(ISNUMBER(FIND(UPPER("prioritization"),UPPER($Z$2:$Z$1000))))*(ISNUMBER(FIND(UPPER("history"),UPPER($AA$2:$AA$1000))))*((ISNUMBER(FIND(UPPER("metaheuristic"),UPPER($AB$2:$AB$1000))))+(ISNUMBER(FIND(UPPER("meta-heuristic"),UPPER($AB$2:$AB$1000))))))</f>
        <v>1</v>
      </c>
      <c r="BB8" cm="1">
        <f t="array" ref="BB8">SUMPRODUCT(($Y$2:$Y$1000="PS")*(ISNUMBER(FIND(UPPER("prioritization"),UPPER($Z$2:$Z$1000))))*(ISNUMBER(FIND(UPPER("history"),UPPER($AA$2:$AA$1000))))*(ISNUMBER(FIND(UPPER("graph"),UPPER($AB$2:$AB$1000)))))</f>
        <v>1</v>
      </c>
      <c r="BC8" cm="1">
        <f t="array" ref="BC8">SUMPRODUCT(($Y$2:$Y$1000="PS")*(ISNUMBER(FIND(UPPER("prioritization"),UPPER($Z$2:$Z$1000))))*(ISNUMBER(FIND(UPPER("history"),UPPER($AA$2:$AA$1000))))*(ISNUMBER(FIND(UPPER("dynamic programming"),UPPER($AB$2:$AB$1000)))))</f>
        <v>0</v>
      </c>
      <c r="BD8" cm="1">
        <f t="array" ref="BD8">SUMPRODUCT(($Y$2:$Y$1000="PS")*(ISNUMBER(FIND(UPPER("prioritization"),UPPER($Z$2:$Z$1000))))*(ISNUMBER(FIND(UPPER("history"),UPPER($AA$2:$AA$1000))))*(ISNUMBER(FIND(UPPER("ml-based"),UPPER($AB$2:$AB$1000)))))</f>
        <v>10</v>
      </c>
      <c r="BE8" cm="1">
        <f t="array" ref="BE8">SUMPRODUCT(($Y$2:$Y$1000="PS")*(ISNUMBER(FIND(UPPER("prioritization"),UPPER($Z$2:$Z$1000))))*(ISNUMBER(FIND(UPPER("history"),UPPER($AA$2:$AA$1000))))*(ISNUMBER(FIND(UPPER("greedy"),UPPER($AB$2:$AB$1000)))))</f>
        <v>0</v>
      </c>
      <c r="BH8" t="s">
        <v>1331</v>
      </c>
      <c r="BI8" cm="1">
        <f t="array" ref="BI8">SUMPRODUCT(($Y$2:$Y$1000="PS")*(ISNUMBER(FIND(UPPER("selection"),UPPER($Z$2:$Z$1000))))*(ISNUMBER(FIND(UPPER("sdg"),UPPER($AA$2:$AA$1000))))*((ISNUMBER(FIND(UPPER("heuristic"),UPPER($AB$2:$AB$1000))))*(NOT(ISNUMBER(FIND(UPPER("meta"),UPPER($AB$2:$AB$1000)))))))</f>
        <v>0</v>
      </c>
      <c r="BJ8" cm="1">
        <f t="array" ref="BJ8">SUMPRODUCT(($Y$2:$Y$1000="PS")*(ISNUMBER(FIND(UPPER("selection"),UPPER($Z$2:$Z$1000))))*(ISNUMBER(FIND(UPPER("sdg"),UPPER($AA$2:$AA$1000))))*((ISNUMBER(FIND(UPPER("metaheuristic"),UPPER($AB$2:$AB$1000))))+(ISNUMBER(FIND(UPPER("meta-heuristic"),UPPER($AB$2:$AB$1000))))))</f>
        <v>0</v>
      </c>
      <c r="BK8" cm="1">
        <f t="array" ref="BK8">SUMPRODUCT(($Y$2:$Y$1000="PS")*(ISNUMBER(FIND(UPPER("selection"),UPPER($Z$2:$Z$1000))))*(ISNUMBER(FIND(UPPER("sdg"),UPPER($AA$2:$AA$1000))))*(ISNUMBER(FIND(UPPER("graph"),UPPER($AB$2:$AB$1000)))))</f>
        <v>0</v>
      </c>
      <c r="BL8" cm="1">
        <f t="array" ref="BL8">SUMPRODUCT(($Y$2:$Y$1000="PS")*(ISNUMBER(FIND(UPPER("selection"),UPPER($Z$2:$Z$1000))))*(ISNUMBER(FIND(UPPER("sdg"),UPPER($AA$2:$AA$1000))))*(ISNUMBER(FIND(UPPER("dynamic programming"),UPPER($AB$2:$AB$1000)))))</f>
        <v>0</v>
      </c>
      <c r="BM8" cm="1">
        <f t="array" ref="BM8">SUMPRODUCT(($Y$2:$Y$1000="PS")*(ISNUMBER(FIND(UPPER("selection"),UPPER($Z$2:$Z$1000))))*(ISNUMBER(FIND(UPPER("sdg"),UPPER($AA$2:$AA$1000))))*(ISNUMBER(FIND(UPPER("ml-based"),UPPER($AB$2:$AB$1000)))))</f>
        <v>0</v>
      </c>
      <c r="BN8" cm="1">
        <f t="array" ref="BN8">SUMPRODUCT(($Y$2:$Y$1000="PS")*(ISNUMBER(FIND(UPPER("selection"),UPPER($Z$2:$Z$1000))))*(ISNUMBER(FIND(UPPER("sdg"),UPPER($AA$2:$AA$1000))))*(ISNUMBER(FIND(UPPER("greedy"),UPPER($AB$2:$AB$1000)))))</f>
        <v>0</v>
      </c>
      <c r="BX8" t="s">
        <v>114</v>
      </c>
      <c r="BY8">
        <v>15</v>
      </c>
      <c r="BZ8">
        <v>1</v>
      </c>
      <c r="CA8">
        <v>2</v>
      </c>
      <c r="CE8">
        <v>3</v>
      </c>
      <c r="CG8" t="s">
        <v>1331</v>
      </c>
      <c r="CN8">
        <v>2018</v>
      </c>
      <c r="CO8" cm="1">
        <f t="array" ref="CO8">SUMPRODUCT((Y$2:Y$1000="PS")*(F$2:F$1000=$CN8)*(AH$2:AH$1000=0))</f>
        <v>7</v>
      </c>
      <c r="CP8" cm="1">
        <f t="array" ref="CP8">SUMPRODUCT((Y$2:Y$1000="PS")*(F$2:F$1000=$CN8)*(AH$2:AH$1000=0.5))</f>
        <v>4</v>
      </c>
      <c r="CQ8" cm="1">
        <f t="array" ref="CQ8">SUMPRODUCT((Y$2:Y$1000="PS")*(F$2:F$1000=$CN8)*(AH$2:AH$1000=1))</f>
        <v>2</v>
      </c>
      <c r="CS8" s="38"/>
      <c r="CT8" s="38"/>
      <c r="CZ8" s="34"/>
      <c r="DF8" s="34"/>
      <c r="DH8" s="34"/>
      <c r="DI8" s="34"/>
      <c r="FQ8" t="s">
        <v>1274</v>
      </c>
      <c r="FR8" s="35" cm="1">
        <f t="array" ref="FR8">SUMPRODUCT((Y$2:Y$1000="PS")*ISNUMBER(SEARCH(LOWER(FQ8),LOWER(AA$2:AA$1000)))*ISNUMBER(SEARCH("prioritization",LOWER(Z$2:Z$1000))))</f>
        <v>22</v>
      </c>
      <c r="FV8">
        <v>2018</v>
      </c>
      <c r="FW8" s="35" cm="1">
        <f t="array" ref="FW8">SUMPRODUCT((Y$2:Y$1000="PS")*(F$2:F$1000=FV8)*ISNUMBER(SEARCH("prioritization",LOWER(Z$2:Z$1000)))*ISNUMBER(SEARCH("coverage",LOWER(AA$2:AA$1000))))</f>
        <v>4</v>
      </c>
      <c r="FX8" s="35" cm="1">
        <f t="array" ref="FX8">SUMPRODUCT((Y$2:Y$1000="PS")*(F$2:F$1000=FV8)*ISNUMBER(SEARCH("prioritization",LOWER(Z$2:Z$1000)))*ISNUMBER(SEARCH("requirement",LOWER(AA$2:AA$1000))))</f>
        <v>1</v>
      </c>
      <c r="FY8" s="35" cm="1">
        <f t="array" ref="FY8">SUMPRODUCT((Y$2:Y$1000="PS")*(F$2:F$1000=FV8)*ISNUMBER(SEARCH("prioritization",LOWER(Z$2:Z$1000)))*ISNUMBER(SEARCH("probab",LOWER(AA$2:AA$1000))))</f>
        <v>0</v>
      </c>
      <c r="FZ8" s="35" cm="1">
        <f t="array" ref="FZ8">SUMPRODUCT((Y$2:Y$1000="PS")*(F$2:F$1000=FV8)*ISNUMBER(SEARCH("prioritization",LOWER(Z$2:Z$1000)))*ISNUMBER(SEARCH("distribution",LOWER(AA$2:AA$1000))))</f>
        <v>0</v>
      </c>
      <c r="GA8" s="35" cm="1">
        <f t="array" ref="GA8">SUMPRODUCT((Y$2:Y$1000="PS")*(F$2:F$1000=FV8)*ISNUMBER(SEARCH("prioritization",LOWER(Z$2:Z$1000)))*ISNUMBER(SEARCH("clustering",LOWER(AA$2:AA$1000))))</f>
        <v>0</v>
      </c>
      <c r="GB8" s="35" cm="1">
        <f t="array" ref="GB8">SUMPRODUCT((Y$2:Y$1000="PS")*(F$2:F$1000=FV8)*ISNUMBER(SEARCH("prioritization",LOWER(Z$2:Z$1000)))*ISNUMBER(SEARCH("history",LOWER(AA$2:AA$1000))))</f>
        <v>3</v>
      </c>
      <c r="GC8" s="35" cm="1">
        <f t="array" ref="GC8">SUMPRODUCT((Y$2:Y$1000="PS")*(F$2:F$1000=FV8)*ISNUMBER(SEARCH("prioritization",LOWER(Z$2:Z$1000)))*ISNUMBER(SEARCH("model",LOWER(AA$2:AA$1000))))</f>
        <v>1</v>
      </c>
      <c r="GD8" s="35" cm="1">
        <f t="array" ref="GD8">SUMPRODUCT((Y$2:Y$1000="PS")*(F$2:F$1000=FV8)*ISNUMBER(SEARCH("prioritization",LOWER(Z$2:Z$1000)))*ISNUMBER(SEARCH("cost-aware",LOWER(AA$2:AA$1000))))</f>
        <v>0</v>
      </c>
      <c r="GE8" s="35" cm="1">
        <f t="array" ref="GE8">SUMPRODUCT((Y$2:Y$1000="PS")*(F$2:F$1000=FV8)*ISNUMBER(SEARCH("prioritization",LOWER(Z$2:Z$1000)))*ISNUMBER(SEARCH("similarity",LOWER(AA$2:AA$1000))))</f>
        <v>0</v>
      </c>
      <c r="GF8" s="35" cm="1">
        <f t="array" ref="GF8">SUMPRODUCT((Y$2:Y$1000="PS")*(F$2:F$1000=FV8)*ISNUMBER(SEARCH("prioritization",LOWER(Z$2:Z$1000)))*ISNUMBER(SEARCH("input",LOWER(AA$2:AA$1000))))</f>
        <v>0</v>
      </c>
      <c r="GG8" s="35" cm="1">
        <f t="array" ref="GG8">SUMPRODUCT((Y$2:Y$1000="PS")*(F$2:F$1000=FV8)*ISNUMBER(SEARCH("prioritization",LOWER(Z$2:Z$1000)))*ISNUMBER(SEARCH("structure",LOWER(AA$2:AA$1000))))</f>
        <v>0</v>
      </c>
      <c r="GH8" s="35" cm="1">
        <f t="array" ref="GH8">SUMPRODUCT((Y$2:Y$1000="PS")*(F$2:F$1000=FV8)*ISNUMBER(SEARCH("prioritization",LOWER(Z$2:Z$1000)))*ISNUMBER(SEARCH("change",LOWER(AA$2:AA$1000))))</f>
        <v>0</v>
      </c>
      <c r="GI8" s="35" cm="1">
        <f t="array" ref="GI8">SUMPRODUCT((Y$2:Y$1000="PS")*(F$2:F$1000=FV8)*ISNUMBER(SEARCH("prioritization",LOWER(Z$2:Z$1000)))*ISNUMBER(SEARCH("ml",LOWER(AA$2:AA$1000))))</f>
        <v>0</v>
      </c>
      <c r="GJ8" s="35" cm="1">
        <f t="array" ref="GJ8">SUMPRODUCT((Y$2:Y$1000="PS")*(F$2:F$1000=FV8)*ISNUMBER(SEARCH("prioritization",LOWER(Z$2:Z$1000)))*ISNUMBER(SEARCH("heuristic",LOWER(AA$2:AA$1000))))</f>
        <v>0</v>
      </c>
      <c r="GK8" s="35" cm="1">
        <f t="array" ref="GK8">SUMPRODUCT((Y$2:Y$1000="PS")*(F$2:F$1000=FV8)*ISNUMBER(SEARCH("prioritization",LOWER(Z$2:Z$1000)))*ISNUMBER(SEARCH("search",LOWER(AA$2:AA$1000))))</f>
        <v>0</v>
      </c>
      <c r="GL8" s="35" cm="1">
        <f t="array" ref="GL8">SUMPRODUCT((Y$2:Y$1000="PS")*(F$2:F$1000=FV8)*ISNUMBER(SEARCH("prioritization",LOWER(Z$2:Z$1000)))*ISNUMBER(SEARCH("transfer",LOWER(AA$2:AA$1000))))</f>
        <v>0</v>
      </c>
      <c r="GM8" s="35" cm="1">
        <f t="array" ref="GM8">SUMPRODUCT((Y$2:Y$1000="PS")*(F$2:F$1000=FV8)*ISNUMBER(SEARCH("prioritization",LOWER(Z$2:Z$1000)))*ISNUMBER(SEARCH("riski",LOWER(AA$2:AA$1000))))</f>
        <v>0</v>
      </c>
      <c r="GN8" s="35" cm="1">
        <f t="array" ref="GN8">SUMPRODUCT((Y$2:Y$1000="PS")*(F$2:F$1000=FV8)*ISNUMBER(SEARCH("prioritization",LOWER(Z$2:Z$1000)))*ISNUMBER(SEARCH("nlp",LOWER(AA$2:AA$1000))))</f>
        <v>0</v>
      </c>
      <c r="GO8" s="35" cm="1">
        <f t="array" ref="GO8">SUMPRODUCT((Y$2:Y$1000="PS")*(F$2:F$1000=FV8)*ISNUMBER(SEARCH("prioritization",LOWER(Z$2:Z$1000)))*ISNUMBER(SEARCH("design",LOWER(AA$2:AA$1000))))</f>
        <v>0</v>
      </c>
      <c r="GP8" s="35" cm="1">
        <f t="array" ref="GP8">SUMPRODUCT((Y$2:Y$1000="PS")*(F$2:F$1000=FV8)*ISNUMBER(SEARCH("prioritization",LOWER(Z$2:Z$1000)))*ISNUMBER(SEARCH("other",LOWER(AA$2:AA$1000))))</f>
        <v>1</v>
      </c>
      <c r="GQ8">
        <f t="shared" si="8"/>
        <v>0</v>
      </c>
      <c r="GZ8">
        <v>2018</v>
      </c>
      <c r="HA8" cm="1">
        <f t="array" ref="HA8">SUMPRODUCT((Y$2:Y$1000="PS")*(F$2:F$1000=GZ8)*ISNUMBER(SEARCH("prioritization",LOWER(Z$2:Z$1000)))*ISNUMBER(SEARCH(LOWER("metaheuristic"),LOWER(AB$2:AB$1000))))</f>
        <v>0</v>
      </c>
      <c r="HB8" cm="1">
        <f t="array" ref="HB8">SUMPRODUCT((Y$2:Y$1000="PS")*(F$2:F$1000=GZ8)*ISNUMBER(SEARCH("prioritization",LOWER(Z$2:Z$1000)))*ISNUMBER(SEARCH(LOWER("search"),LOWER(AB$2:AB$1000))))</f>
        <v>0</v>
      </c>
      <c r="HC8" cm="1">
        <f t="array" ref="HC8">SUMPRODUCT((Y$2:Y$1000="PS")*(F$2:F$1000=GZ8)*ISNUMBER(SEARCH("prioritization",LOWER(Z$2:Z$1000)))*ISNUMBER(SEARCH(LOWER("heuristic"),LOWER(AB$2:AB$1000))))</f>
        <v>3</v>
      </c>
      <c r="HD8" cm="1">
        <f t="array" ref="HD8">SUMPRODUCT((Y$2:Y$1000="PS")*(F$2:F$1000=GZ8)*ISNUMBER(SEARCH("prioritization",LOWER(Z$2:Z$1000)))*ISNUMBER(SEARCH(LOWER("ml"),LOWER(AB$2:AB$1000))))</f>
        <v>2</v>
      </c>
      <c r="HE8" cm="1">
        <f t="array" ref="HE8">SUMPRODUCT((Y$2:Y$1000="PS")*(F$2:F$1000=GZ8)*ISNUMBER(SEARCH("prioritization",LOWER(Z$2:Z$1000)))*ISNUMBER(SEARCH(LOWER("rule"),LOWER(AB$2:AB$1000))))</f>
        <v>0</v>
      </c>
      <c r="HF8" cm="1">
        <f t="array" ref="HF8">SUMPRODUCT((Y$2:Y$1000="PS")*(F$2:F$1000=GZ8)*ISNUMBER(SEARCH("prioritization",LOWER(Z$2:Z$1000)))*ISNUMBER(SEARCH(LOWER(HF$2),LOWER(AB$2:AB$1000))))</f>
        <v>0</v>
      </c>
      <c r="HG8" cm="1">
        <f t="array" ref="HG8">SUMPRODUCT((Y$2:Y$1000="PS")*(F$2:F$1000=GZ8)*ISNUMBER(SEARCH("prioritization",LOWER(Z$2:Z$1000)))*ISNUMBER(SEARCH(LOWER("model"),LOWER(AB$2:AB$1000))))</f>
        <v>0</v>
      </c>
      <c r="HH8" cm="1">
        <f t="array" ref="HH8">SUMPRODUCT((Y$2:Y$1000="PS")*(F$2:F$1000=GZ8)*ISNUMBER(SEARCH("prioritization",LOWER(Z$2:Z$1000)))*ISNUMBER(SEARCH(LOWER(HH$2),LOWER(AB$2:AB$1000))))</f>
        <v>0</v>
      </c>
      <c r="HI8" cm="1">
        <f t="array" ref="HI8">SUMPRODUCT((Y$2:Y$1000="PS")*(F$2:F$1000=GZ8)*ISNUMBER(SEARCH("prioritization",LOWER(Z$2:Z$1000)))*ISNUMBER(SEARCH(LOWER("quantum"),LOWER(AB$2:AB$1000))))</f>
        <v>0</v>
      </c>
      <c r="HJ8" cm="1">
        <f t="array" ref="HJ8">SUMPRODUCT((Y$2:Y$1000="PS")*(F$2:F$1000=GZ8)*ISNUMBER(SEARCH("prioritization",LOWER(Z$2:Z$1000)))*ISNUMBER(SEARCH(LOWER("genetic"),LOWER(AB$2:AB$1000))))</f>
        <v>0</v>
      </c>
      <c r="HK8" cm="1">
        <f t="array" ref="HK8">SUMPRODUCT((Y$2:Y$1000="PS")*(F$2:F$1000=GZ8)*ISNUMBER(SEARCH("prioritization",LOWER(Z$2:Z$1000)))*ISNUMBER(SEARCH(LOWER("graph"),LOWER(AB$2:AB$1000))))</f>
        <v>3</v>
      </c>
      <c r="HL8" cm="1">
        <f t="array" ref="HL8">SUMPRODUCT((Y$2:Y$1000="PS")*(F$2:F$1000=GZ8)*ISNUMBER(SEARCH("prioritization",LOWER(Z$2:Z$1000)))*ISNUMBER(SEARCH(LOWER("greedy"),LOWER(AB$2:AB$1000))))</f>
        <v>0</v>
      </c>
      <c r="HM8" cm="1">
        <f t="array" ref="HM8">SUMPRODUCT((Y$2:Y$1000="PS")*(F$2:F$1000=GZ8)*ISNUMBER(SEARCH("prioritization",LOWER(Z$2:Z$1000)))*ISNUMBER(SEARCH(LOWER("dynamic"),LOWER(AB$2:AB$1000))))</f>
        <v>0</v>
      </c>
    </row>
    <row r="9" spans="1:221" ht="409.6">
      <c r="A9" s="2">
        <v>9440156</v>
      </c>
      <c r="B9" s="2" t="s">
        <v>34</v>
      </c>
      <c r="C9" s="2" t="s">
        <v>132</v>
      </c>
      <c r="D9" s="2" t="s">
        <v>133</v>
      </c>
      <c r="E9" s="2" t="s">
        <v>134</v>
      </c>
      <c r="F9" s="2">
        <v>2021</v>
      </c>
      <c r="G9" s="2"/>
      <c r="H9" s="2"/>
      <c r="I9" s="2" t="s">
        <v>135</v>
      </c>
      <c r="J9" s="2" t="s">
        <v>136</v>
      </c>
      <c r="K9" s="2" t="s">
        <v>137</v>
      </c>
      <c r="L9" s="2" t="s">
        <v>138</v>
      </c>
      <c r="M9" s="2"/>
      <c r="N9" s="2" t="s">
        <v>139</v>
      </c>
      <c r="O9" s="2"/>
      <c r="P9" s="2"/>
      <c r="Q9" s="2"/>
      <c r="R9" s="2"/>
      <c r="S9" s="2"/>
      <c r="T9" s="2"/>
      <c r="U9" s="2"/>
      <c r="V9" s="2"/>
      <c r="W9" s="2"/>
      <c r="X9" s="2" t="s">
        <v>140</v>
      </c>
      <c r="Y9" s="2" t="s">
        <v>58</v>
      </c>
      <c r="Z9" s="2" t="s">
        <v>141</v>
      </c>
      <c r="AA9" s="2" t="s">
        <v>142</v>
      </c>
      <c r="AB9" s="2" t="s">
        <v>207</v>
      </c>
      <c r="AC9" s="2" t="s">
        <v>143</v>
      </c>
      <c r="AD9" s="2" t="s">
        <v>144</v>
      </c>
      <c r="AE9" s="2" t="s">
        <v>145</v>
      </c>
      <c r="AF9" s="2" t="s">
        <v>65</v>
      </c>
      <c r="AG9" s="2" t="s">
        <v>146</v>
      </c>
      <c r="AH9" s="2">
        <v>0.5</v>
      </c>
      <c r="AI9" s="36" t="s">
        <v>1373</v>
      </c>
      <c r="AK9">
        <f t="shared" si="6"/>
        <v>1</v>
      </c>
      <c r="AL9">
        <f t="shared" si="0"/>
        <v>0</v>
      </c>
      <c r="AM9">
        <f t="shared" si="1"/>
        <v>0</v>
      </c>
      <c r="AN9">
        <f t="shared" si="2"/>
        <v>1</v>
      </c>
      <c r="AP9">
        <v>2019</v>
      </c>
      <c r="AQ9">
        <f t="shared" si="7"/>
        <v>13</v>
      </c>
      <c r="AR9">
        <f t="shared" si="3"/>
        <v>0</v>
      </c>
      <c r="AS9">
        <f t="shared" si="4"/>
        <v>2</v>
      </c>
      <c r="AT9">
        <f t="shared" si="5"/>
        <v>12</v>
      </c>
      <c r="AY9" t="s">
        <v>60</v>
      </c>
      <c r="AZ9" cm="1">
        <f t="array" ref="AZ9">SUMPRODUCT(($Y$2:$Y$1000="PS")*(ISNUMBER(FIND(UPPER("prioritization"),UPPER($Z$2:$Z$1000))))*(ISNUMBER(FIND(UPPER("model"),UPPER($AA$2:$AA$1000))))*((ISNUMBER(FIND(UPPER("heuristic"),UPPER($AB$2:$AB$1000))))*(NOT(ISNUMBER(FIND(UPPER("meta"),UPPER($AB$2:$AB$1000)))))))</f>
        <v>2</v>
      </c>
      <c r="BA9" cm="1">
        <f t="array" ref="BA9">SUMPRODUCT(($Y$2:$Y$1000="PS")*(ISNUMBER(FIND(UPPER("prioritization"),UPPER($Z$2:$Z$1000))))*(ISNUMBER(FIND(UPPER("model"),UPPER($AA$2:$AA$1000))))*((ISNUMBER(FIND(UPPER("metaheuristic"),UPPER($AB$2:$AB$1000))))+(ISNUMBER(FIND(UPPER("meta-heuristic"),UPPER($AB$2:$AB$1000))))))</f>
        <v>2</v>
      </c>
      <c r="BB9" cm="1">
        <f t="array" ref="BB9">SUMPRODUCT(($Y$2:$Y$1000="PS")*(ISNUMBER(FIND(UPPER("prioritization"),UPPER($Z$2:$Z$1000))))*(ISNUMBER(FIND(UPPER("model"),UPPER($AA$2:$AA$1000))))*(ISNUMBER(FIND(UPPER("graph"),UPPER($AB$2:$AB$1000)))))</f>
        <v>2</v>
      </c>
      <c r="BC9" cm="1">
        <f t="array" ref="BC9">SUMPRODUCT(($Y$2:$Y$1000="PS")*(ISNUMBER(FIND(UPPER("prioritization"),UPPER($Z$2:$Z$1000))))*(ISNUMBER(FIND(UPPER("model"),UPPER($AA$2:$AA$1000))))*(ISNUMBER(FIND(UPPER("dynamic programming"),UPPER($AB$2:$AB$1000)))))</f>
        <v>0</v>
      </c>
      <c r="BD9" cm="1">
        <f t="array" ref="BD9">SUMPRODUCT(($Y$2:$Y$1000="PS")*(ISNUMBER(FIND(UPPER("prioritization"),UPPER($Z$2:$Z$1000))))*(ISNUMBER(FIND(UPPER("model"),UPPER($AA$2:$AA$1000))))*(ISNUMBER(FIND(UPPER("ml-based"),UPPER($AB$2:$AB$1000)))))</f>
        <v>0</v>
      </c>
      <c r="BE9" cm="1">
        <f t="array" ref="BE9">SUMPRODUCT(($Y$2:$Y$1000="PS")*(ISNUMBER(FIND(UPPER("prioritization"),UPPER($Z$2:$Z$1000))))*(ISNUMBER(FIND(UPPER("model"),UPPER($AA$2:$AA$1000))))*(ISNUMBER(FIND(UPPER("greedy"),UPPER($AB$2:$AB$1000)))))</f>
        <v>1</v>
      </c>
      <c r="BH9" t="s">
        <v>1332</v>
      </c>
      <c r="BI9" cm="1">
        <f t="array" ref="BI9">SUMPRODUCT(($Y$2:$Y$1000="PS")*(ISNUMBER(FIND(UPPER("selection"),UPPER($Z$2:$Z$1000))))*(ISNUMBER(FIND(UPPER("path"),UPPER($AA$2:$AA$1000))))*((ISNUMBER(FIND(UPPER("heuristic"),UPPER($AB$2:$AB$1000))))*(NOT(ISNUMBER(FIND(UPPER("meta"),UPPER($AB$2:$AB$1000)))))))</f>
        <v>0</v>
      </c>
      <c r="BJ9" cm="1">
        <f t="array" ref="BJ9">SUMPRODUCT(($Y$2:$Y$1000="PS")*(ISNUMBER(FIND(UPPER("selection"),UPPER($Z$2:$Z$1000))))*(ISNUMBER(FIND(UPPER("path"),UPPER($AA$2:$AA$1000))))*((ISNUMBER(FIND(UPPER("metaheuristic"),UPPER($AB$2:$AB$1000))))+(ISNUMBER(FIND(UPPER("meta-heuristic"),UPPER($AB$2:$AB$1000))))))</f>
        <v>0</v>
      </c>
      <c r="BK9" cm="1">
        <f t="array" ref="BK9">SUMPRODUCT(($Y$2:$Y$1000="PS")*(ISNUMBER(FIND(UPPER("selection"),UPPER($Z$2:$Z$1000))))*(ISNUMBER(FIND(UPPER("path"),UPPER($AA$2:$AA$1000))))*(ISNUMBER(FIND(UPPER("graph"),UPPER($AB$2:$AB$1000)))))</f>
        <v>0</v>
      </c>
      <c r="BL9" cm="1">
        <f t="array" ref="BL9">SUMPRODUCT(($Y$2:$Y$1000="PS")*(ISNUMBER(FIND(UPPER("selection"),UPPER($Z$2:$Z$1000))))*(ISNUMBER(FIND(UPPER("path"),UPPER($AA$2:$AA$1000))))*(ISNUMBER(FIND(UPPER("dynamic programming"),UPPER($AB$2:$AB$1000)))))</f>
        <v>0</v>
      </c>
      <c r="BM9" cm="1">
        <f t="array" ref="BM9">SUMPRODUCT(($Y$2:$Y$1000="PS")*(ISNUMBER(FIND(UPPER("selection"),UPPER($Z$2:$Z$1000))))*(ISNUMBER(FIND(UPPER("path"),UPPER($AA$2:$AA$1000))))*(ISNUMBER(FIND(UPPER("ml-based"),UPPER($AB$2:$AB$1000)))))</f>
        <v>0</v>
      </c>
      <c r="BN9" cm="1">
        <f t="array" ref="BN9">SUMPRODUCT(($Y$2:$Y$1000="PS")*(ISNUMBER(FIND(UPPER("selection"),UPPER($Z$2:$Z$1000))))*(ISNUMBER(FIND(UPPER("path"),UPPER($AA$2:$AA$1000))))*(ISNUMBER(FIND(UPPER("greedy"),UPPER($AB$2:$AB$1000)))))</f>
        <v>0</v>
      </c>
      <c r="BX9" t="s">
        <v>60</v>
      </c>
      <c r="BY9">
        <v>6</v>
      </c>
      <c r="CD9">
        <v>1</v>
      </c>
      <c r="CE9">
        <v>1</v>
      </c>
      <c r="CG9" t="s">
        <v>1332</v>
      </c>
      <c r="CN9">
        <v>2019</v>
      </c>
      <c r="CO9" cm="1">
        <f t="array" ref="CO9">SUMPRODUCT((Y$2:Y$1000="PS")*(F$2:F$1000=$CN9)*(AH$2:AH$1000=0))</f>
        <v>8</v>
      </c>
      <c r="CP9" cm="1">
        <f t="array" ref="CP9">SUMPRODUCT((Y$2:Y$1000="PS")*(F$2:F$1000=$CN9)*(AH$2:AH$1000=0.5))</f>
        <v>4</v>
      </c>
      <c r="CQ9" cm="1">
        <f t="array" ref="CQ9">SUMPRODUCT((Y$2:Y$1000="PS")*(F$2:F$1000=$CN9)*(AH$2:AH$1000=1))</f>
        <v>1</v>
      </c>
      <c r="CZ9" s="34"/>
      <c r="DF9" s="34"/>
      <c r="DH9" s="34"/>
      <c r="DI9" s="34"/>
      <c r="FQ9" t="s">
        <v>1275</v>
      </c>
      <c r="FR9" s="35" cm="1">
        <f t="array" ref="FR9">SUMPRODUCT((Y$2:Y$1000="PS")*ISNUMBER(SEARCH(LOWER(FQ9),LOWER(AA$2:AA$1000)))*ISNUMBER(SEARCH("prioritization",LOWER(Z$2:Z$1000))))</f>
        <v>7</v>
      </c>
      <c r="FV9">
        <v>2019</v>
      </c>
      <c r="FW9" s="35" cm="1">
        <f t="array" ref="FW9">SUMPRODUCT((Y$2:Y$1000="PS")*(F$2:F$1000=FV9)*ISNUMBER(SEARCH("prioritization",LOWER(Z$2:Z$1000)))*ISNUMBER(SEARCH("coverage",LOWER(AA$2:AA$1000))))</f>
        <v>8</v>
      </c>
      <c r="FX9" s="35" cm="1">
        <f t="array" ref="FX9">SUMPRODUCT((Y$2:Y$1000="PS")*(F$2:F$1000=FV9)*ISNUMBER(SEARCH("prioritization",LOWER(Z$2:Z$1000)))*ISNUMBER(SEARCH("requirement",LOWER(AA$2:AA$1000))))</f>
        <v>2</v>
      </c>
      <c r="FY9" s="35" cm="1">
        <f t="array" ref="FY9">SUMPRODUCT((Y$2:Y$1000="PS")*(F$2:F$1000=FV9)*ISNUMBER(SEARCH("prioritization",LOWER(Z$2:Z$1000)))*ISNUMBER(SEARCH("probab",LOWER(AA$2:AA$1000))))</f>
        <v>0</v>
      </c>
      <c r="FZ9" s="35" cm="1">
        <f t="array" ref="FZ9">SUMPRODUCT((Y$2:Y$1000="PS")*(F$2:F$1000=FV9)*ISNUMBER(SEARCH("prioritization",LOWER(Z$2:Z$1000)))*ISNUMBER(SEARCH("distribution",LOWER(AA$2:AA$1000))))</f>
        <v>0</v>
      </c>
      <c r="GA9" s="35" cm="1">
        <f t="array" ref="GA9">SUMPRODUCT((Y$2:Y$1000="PS")*(F$2:F$1000=FV9)*ISNUMBER(SEARCH("prioritization",LOWER(Z$2:Z$1000)))*ISNUMBER(SEARCH("clustering",LOWER(AA$2:AA$1000))))</f>
        <v>0</v>
      </c>
      <c r="GB9" s="35" cm="1">
        <f t="array" ref="GB9">SUMPRODUCT((Y$2:Y$1000="PS")*(F$2:F$1000=FV9)*ISNUMBER(SEARCH("prioritization",LOWER(Z$2:Z$1000)))*ISNUMBER(SEARCH("history",LOWER(AA$2:AA$1000))))</f>
        <v>0</v>
      </c>
      <c r="GC9" s="35" cm="1">
        <f t="array" ref="GC9">SUMPRODUCT((Y$2:Y$1000="PS")*(F$2:F$1000=FV9)*ISNUMBER(SEARCH("prioritization",LOWER(Z$2:Z$1000)))*ISNUMBER(SEARCH("model",LOWER(AA$2:AA$1000))))</f>
        <v>1</v>
      </c>
      <c r="GD9" s="35" cm="1">
        <f t="array" ref="GD9">SUMPRODUCT((Y$2:Y$1000="PS")*(F$2:F$1000=FV9)*ISNUMBER(SEARCH("prioritization",LOWER(Z$2:Z$1000)))*ISNUMBER(SEARCH("cost-aware",LOWER(AA$2:AA$1000))))</f>
        <v>0</v>
      </c>
      <c r="GE9" s="35" cm="1">
        <f t="array" ref="GE9">SUMPRODUCT((Y$2:Y$1000="PS")*(F$2:F$1000=FV9)*ISNUMBER(SEARCH("prioritization",LOWER(Z$2:Z$1000)))*ISNUMBER(SEARCH("similarity",LOWER(AA$2:AA$1000))))</f>
        <v>0</v>
      </c>
      <c r="GF9" s="35" cm="1">
        <f t="array" ref="GF9">SUMPRODUCT((Y$2:Y$1000="PS")*(F$2:F$1000=FV9)*ISNUMBER(SEARCH("prioritization",LOWER(Z$2:Z$1000)))*ISNUMBER(SEARCH("input",LOWER(AA$2:AA$1000))))</f>
        <v>0</v>
      </c>
      <c r="GG9" s="35" cm="1">
        <f t="array" ref="GG9">SUMPRODUCT((Y$2:Y$1000="PS")*(F$2:F$1000=FV9)*ISNUMBER(SEARCH("prioritization",LOWER(Z$2:Z$1000)))*ISNUMBER(SEARCH("structure",LOWER(AA$2:AA$1000))))</f>
        <v>0</v>
      </c>
      <c r="GH9" s="35" cm="1">
        <f t="array" ref="GH9">SUMPRODUCT((Y$2:Y$1000="PS")*(F$2:F$1000=FV9)*ISNUMBER(SEARCH("prioritization",LOWER(Z$2:Z$1000)))*ISNUMBER(SEARCH("change",LOWER(AA$2:AA$1000))))</f>
        <v>0</v>
      </c>
      <c r="GI9" s="35" cm="1">
        <f t="array" ref="GI9">SUMPRODUCT((Y$2:Y$1000="PS")*(F$2:F$1000=FV9)*ISNUMBER(SEARCH("prioritization",LOWER(Z$2:Z$1000)))*ISNUMBER(SEARCH("ml",LOWER(AA$2:AA$1000))))</f>
        <v>0</v>
      </c>
      <c r="GJ9" s="35" cm="1">
        <f t="array" ref="GJ9">SUMPRODUCT((Y$2:Y$1000="PS")*(F$2:F$1000=FV9)*ISNUMBER(SEARCH("prioritization",LOWER(Z$2:Z$1000)))*ISNUMBER(SEARCH("heuristic",LOWER(AA$2:AA$1000))))</f>
        <v>0</v>
      </c>
      <c r="GK9" s="35" cm="1">
        <f t="array" ref="GK9">SUMPRODUCT((Y$2:Y$1000="PS")*(F$2:F$1000=FV9)*ISNUMBER(SEARCH("prioritization",LOWER(Z$2:Z$1000)))*ISNUMBER(SEARCH("search",LOWER(AA$2:AA$1000))))</f>
        <v>0</v>
      </c>
      <c r="GL9" s="35" cm="1">
        <f t="array" ref="GL9">SUMPRODUCT((Y$2:Y$1000="PS")*(F$2:F$1000=FV9)*ISNUMBER(SEARCH("prioritization",LOWER(Z$2:Z$1000)))*ISNUMBER(SEARCH("transfer",LOWER(AA$2:AA$1000))))</f>
        <v>0</v>
      </c>
      <c r="GM9" s="35" cm="1">
        <f t="array" ref="GM9">SUMPRODUCT((Y$2:Y$1000="PS")*(F$2:F$1000=FV9)*ISNUMBER(SEARCH("prioritization",LOWER(Z$2:Z$1000)))*ISNUMBER(SEARCH("riski",LOWER(AA$2:AA$1000))))</f>
        <v>0</v>
      </c>
      <c r="GN9" s="35" cm="1">
        <f t="array" ref="GN9">SUMPRODUCT((Y$2:Y$1000="PS")*(F$2:F$1000=FV9)*ISNUMBER(SEARCH("prioritization",LOWER(Z$2:Z$1000)))*ISNUMBER(SEARCH("nlp",LOWER(AA$2:AA$1000))))</f>
        <v>0</v>
      </c>
      <c r="GO9" s="35" cm="1">
        <f t="array" ref="GO9">SUMPRODUCT((Y$2:Y$1000="PS")*(F$2:F$1000=FV9)*ISNUMBER(SEARCH("prioritization",LOWER(Z$2:Z$1000)))*ISNUMBER(SEARCH("design",LOWER(AA$2:AA$1000))))</f>
        <v>0</v>
      </c>
      <c r="GP9" s="35" cm="1">
        <f t="array" ref="GP9">SUMPRODUCT((Y$2:Y$1000="PS")*(F$2:F$1000=FV9)*ISNUMBER(SEARCH("prioritization",LOWER(Z$2:Z$1000)))*ISNUMBER(SEARCH("other",LOWER(AA$2:AA$1000))))</f>
        <v>1</v>
      </c>
      <c r="GQ9">
        <f t="shared" si="8"/>
        <v>0</v>
      </c>
      <c r="GZ9">
        <v>2019</v>
      </c>
      <c r="HA9" cm="1">
        <f t="array" ref="HA9">SUMPRODUCT((Y$2:Y$1000="PS")*(F$2:F$1000=GZ9)*ISNUMBER(SEARCH("prioritization",LOWER(Z$2:Z$1000)))*ISNUMBER(SEARCH(LOWER("metaheuristic"),LOWER(AB$2:AB$1000))))</f>
        <v>0</v>
      </c>
      <c r="HB9" cm="1">
        <f t="array" ref="HB9">SUMPRODUCT((Y$2:Y$1000="PS")*(F$2:F$1000=GZ9)*ISNUMBER(SEARCH("prioritization",LOWER(Z$2:Z$1000)))*ISNUMBER(SEARCH(LOWER("search"),LOWER(AB$2:AB$1000))))</f>
        <v>0</v>
      </c>
      <c r="HC9" cm="1">
        <f t="array" ref="HC9">SUMPRODUCT((Y$2:Y$1000="PS")*(F$2:F$1000=GZ9)*ISNUMBER(SEARCH("prioritization",LOWER(Z$2:Z$1000)))*ISNUMBER(SEARCH(LOWER("heuristic"),LOWER(AB$2:AB$1000))))</f>
        <v>6</v>
      </c>
      <c r="HD9" cm="1">
        <f t="array" ref="HD9">SUMPRODUCT((Y$2:Y$1000="PS")*(F$2:F$1000=GZ9)*ISNUMBER(SEARCH("prioritization",LOWER(Z$2:Z$1000)))*ISNUMBER(SEARCH(LOWER("ml"),LOWER(AB$2:AB$1000))))</f>
        <v>0</v>
      </c>
      <c r="HE9" cm="1">
        <f t="array" ref="HE9">SUMPRODUCT((Y$2:Y$1000="PS")*(F$2:F$1000=GZ9)*ISNUMBER(SEARCH("prioritization",LOWER(Z$2:Z$1000)))*ISNUMBER(SEARCH(LOWER("rule"),LOWER(AB$2:AB$1000))))</f>
        <v>0</v>
      </c>
      <c r="HF9" cm="1">
        <f t="array" ref="HF9">SUMPRODUCT((Y$2:Y$1000="PS")*(F$2:F$1000=GZ9)*ISNUMBER(SEARCH("prioritization",LOWER(Z$2:Z$1000)))*ISNUMBER(SEARCH(LOWER(HF$2),LOWER(AB$2:AB$1000))))</f>
        <v>0</v>
      </c>
      <c r="HG9" cm="1">
        <f t="array" ref="HG9">SUMPRODUCT((Y$2:Y$1000="PS")*(F$2:F$1000=GZ9)*ISNUMBER(SEARCH("prioritization",LOWER(Z$2:Z$1000)))*ISNUMBER(SEARCH(LOWER("model"),LOWER(AB$2:AB$1000))))</f>
        <v>0</v>
      </c>
      <c r="HH9" cm="1">
        <f t="array" ref="HH9">SUMPRODUCT((Y$2:Y$1000="PS")*(F$2:F$1000=GZ9)*ISNUMBER(SEARCH("prioritization",LOWER(Z$2:Z$1000)))*ISNUMBER(SEARCH(LOWER(HH$2),LOWER(AB$2:AB$1000))))</f>
        <v>0</v>
      </c>
      <c r="HI9" cm="1">
        <f t="array" ref="HI9">SUMPRODUCT((Y$2:Y$1000="PS")*(F$2:F$1000=GZ9)*ISNUMBER(SEARCH("prioritization",LOWER(Z$2:Z$1000)))*ISNUMBER(SEARCH(LOWER("quantum"),LOWER(AB$2:AB$1000))))</f>
        <v>0</v>
      </c>
      <c r="HJ9" cm="1">
        <f t="array" ref="HJ9">SUMPRODUCT((Y$2:Y$1000="PS")*(F$2:F$1000=GZ9)*ISNUMBER(SEARCH("prioritization",LOWER(Z$2:Z$1000)))*ISNUMBER(SEARCH(LOWER("genetic"),LOWER(AB$2:AB$1000))))</f>
        <v>0</v>
      </c>
      <c r="HK9" cm="1">
        <f t="array" ref="HK9">SUMPRODUCT((Y$2:Y$1000="PS")*(F$2:F$1000=GZ9)*ISNUMBER(SEARCH("prioritization",LOWER(Z$2:Z$1000)))*ISNUMBER(SEARCH(LOWER("graph"),LOWER(AB$2:AB$1000))))</f>
        <v>1</v>
      </c>
      <c r="HL9" cm="1">
        <f t="array" ref="HL9">SUMPRODUCT((Y$2:Y$1000="PS")*(F$2:F$1000=GZ9)*ISNUMBER(SEARCH("prioritization",LOWER(Z$2:Z$1000)))*ISNUMBER(SEARCH(LOWER("greedy"),LOWER(AB$2:AB$1000))))</f>
        <v>5</v>
      </c>
      <c r="HM9" cm="1">
        <f t="array" ref="HM9">SUMPRODUCT((Y$2:Y$1000="PS")*(F$2:F$1000=GZ9)*ISNUMBER(SEARCH("prioritization",LOWER(Z$2:Z$1000)))*ISNUMBER(SEARCH(LOWER("dynamic"),LOWER(AB$2:AB$1000))))</f>
        <v>1</v>
      </c>
    </row>
    <row r="10" spans="1:221" ht="409.6">
      <c r="A10" s="2">
        <v>7273631</v>
      </c>
      <c r="B10" s="2" t="s">
        <v>34</v>
      </c>
      <c r="C10" s="2" t="s">
        <v>147</v>
      </c>
      <c r="D10" s="2" t="s">
        <v>148</v>
      </c>
      <c r="E10" s="2" t="s">
        <v>149</v>
      </c>
      <c r="F10" s="2">
        <v>2015</v>
      </c>
      <c r="G10" s="2">
        <v>2</v>
      </c>
      <c r="H10" s="2"/>
      <c r="I10" s="2" t="s">
        <v>150</v>
      </c>
      <c r="J10" s="2" t="s">
        <v>151</v>
      </c>
      <c r="K10" s="2" t="s">
        <v>152</v>
      </c>
      <c r="L10" s="2" t="s">
        <v>153</v>
      </c>
      <c r="M10" s="2" t="s">
        <v>55</v>
      </c>
      <c r="N10" s="2" t="s">
        <v>56</v>
      </c>
      <c r="O10" s="2"/>
      <c r="P10" s="2"/>
      <c r="Q10" s="2"/>
      <c r="R10" s="2"/>
      <c r="S10" s="2"/>
      <c r="T10" s="2"/>
      <c r="U10" s="2"/>
      <c r="V10" s="2"/>
      <c r="W10" s="2"/>
      <c r="X10" s="2" t="s">
        <v>154</v>
      </c>
      <c r="Y10" s="2" t="s">
        <v>58</v>
      </c>
      <c r="Z10" s="2" t="s">
        <v>155</v>
      </c>
      <c r="AA10" s="2" t="s">
        <v>60</v>
      </c>
      <c r="AB10" s="2" t="s">
        <v>156</v>
      </c>
      <c r="AC10" s="2" t="s">
        <v>62</v>
      </c>
      <c r="AD10" s="2" t="s">
        <v>157</v>
      </c>
      <c r="AE10" s="2" t="s">
        <v>158</v>
      </c>
      <c r="AF10" s="2" t="s">
        <v>65</v>
      </c>
      <c r="AG10" s="2" t="s">
        <v>159</v>
      </c>
      <c r="AH10" s="2">
        <v>0.5</v>
      </c>
      <c r="AK10">
        <f t="shared" si="6"/>
        <v>1</v>
      </c>
      <c r="AL10">
        <f t="shared" si="0"/>
        <v>0</v>
      </c>
      <c r="AM10">
        <f t="shared" si="1"/>
        <v>0</v>
      </c>
      <c r="AN10">
        <f t="shared" si="2"/>
        <v>1</v>
      </c>
      <c r="AP10">
        <v>2020</v>
      </c>
      <c r="AQ10">
        <f t="shared" si="7"/>
        <v>7</v>
      </c>
      <c r="AR10">
        <f t="shared" si="3"/>
        <v>0</v>
      </c>
      <c r="AS10">
        <f t="shared" si="4"/>
        <v>1</v>
      </c>
      <c r="AT10">
        <f t="shared" si="5"/>
        <v>6</v>
      </c>
      <c r="AY10" t="s">
        <v>1321</v>
      </c>
      <c r="AZ10" cm="1">
        <f t="array" ref="AZ10">SUMPRODUCT(($Y$2:$Y$1000="PS")*(ISNUMBER(FIND(UPPER("prioritization"),UPPER($Z$2:$Z$1000))))*(ISNUMBER(FIND(UPPER("cost"),UPPER($AA$2:$AA$1000))))*((ISNUMBER(FIND(UPPER("heuristic"),UPPER($AB$2:$AB$1000))))*(NOT(ISNUMBER(FIND(UPPER("meta"),UPPER($AB$2:$AB$1000)))))))</f>
        <v>2</v>
      </c>
      <c r="BA10" cm="1">
        <f t="array" ref="BA10">SUMPRODUCT(($Y$2:$Y$1000="PS")*(ISNUMBER(FIND(UPPER("prioritization"),UPPER($Z$2:$Z$1000))))*(ISNUMBER(FIND(UPPER("cost"),UPPER($AA$2:$AA$1000))))*((ISNUMBER(FIND(UPPER("metaheuristic"),UPPER($AB$2:$AB$1000))))+(ISNUMBER(FIND(UPPER("meta-heuristic"),UPPER($AB$2:$AB$1000))))))</f>
        <v>2</v>
      </c>
      <c r="BB10" cm="1">
        <f t="array" ref="BB10">SUMPRODUCT(($Y$2:$Y$1000="PS")*(ISNUMBER(FIND(UPPER("prioritization"),UPPER($Z$2:$Z$1000))))*(ISNUMBER(FIND(UPPER("cost"),UPPER($AA$2:$AA$1000))))*(ISNUMBER(FIND(UPPER("graph"),UPPER($AB$2:$AB$1000)))))</f>
        <v>1</v>
      </c>
      <c r="BC10" cm="1">
        <f t="array" ref="BC10">SUMPRODUCT(($Y$2:$Y$1000="PS")*(ISNUMBER(FIND(UPPER("prioritization"),UPPER($Z$2:$Z$1000))))*(ISNUMBER(FIND(UPPER("cost"),UPPER($AA$2:$AA$1000))))*(ISNUMBER(FIND(UPPER("dynamic programming"),UPPER($AB$2:$AB$1000)))))</f>
        <v>0</v>
      </c>
      <c r="BD10" cm="1">
        <f t="array" ref="BD10">SUMPRODUCT(($Y$2:$Y$1000="PS")*(ISNUMBER(FIND(UPPER("prioritization"),UPPER($Z$2:$Z$1000))))*(ISNUMBER(FIND(UPPER("cost"),UPPER($AA$2:$AA$1000))))*(ISNUMBER(FIND(UPPER("ml-based"),UPPER($AB$2:$AB$1000)))))</f>
        <v>1</v>
      </c>
      <c r="BE10" cm="1">
        <f t="array" ref="BE10">SUMPRODUCT(($Y$2:$Y$1000="PS")*(ISNUMBER(FIND(UPPER("prioritization"),UPPER($Z$2:$Z$1000))))*(ISNUMBER(FIND(UPPER("cost"),UPPER($AA$2:$AA$1000))))*(ISNUMBER(FIND(UPPER("greedy"),UPPER($AB$2:$AB$1000)))))</f>
        <v>0</v>
      </c>
      <c r="BH10" t="s">
        <v>129</v>
      </c>
      <c r="BI10" cm="1">
        <f t="array" ref="BI10">SUMPRODUCT(($Y$2:$Y$1000="PS")*(ISNUMBER(FIND(UPPER("selection"),UPPER($Z$2:$Z$1000))))*(ISNUMBER(FIND(UPPER("modification"),UPPER($AA$2:$AA$1000))))*((ISNUMBER(FIND(UPPER("heuristic"),UPPER($AB$2:$AB$1000))))*(NOT(ISNUMBER(FIND(UPPER("meta"),UPPER($AB$2:$AB$1000)))))))</f>
        <v>2</v>
      </c>
      <c r="BJ10" cm="1">
        <f t="array" ref="BJ10">SUMPRODUCT(($Y$2:$Y$1000="PS")*(ISNUMBER(FIND(UPPER("selection"),UPPER($Z$2:$Z$1000))))*(ISNUMBER(FIND(UPPER("modification"),UPPER($AA$2:$AA$1000))))*((ISNUMBER(FIND(UPPER("metaheuristic"),UPPER($AB$2:$AB$1000))))+(ISNUMBER(FIND(UPPER("meta-heuristic"),UPPER($AB$2:$AB$1000))))))</f>
        <v>1</v>
      </c>
      <c r="BK10" cm="1">
        <f t="array" ref="BK10">SUMPRODUCT(($Y$2:$Y$1000="PS")*(ISNUMBER(FIND(UPPER("selection"),UPPER($Z$2:$Z$1000))))*(ISNUMBER(FIND(UPPER("modification"),UPPER($AA$2:$AA$1000))))*(ISNUMBER(FIND(UPPER("graph"),UPPER($AB$2:$AB$1000)))))</f>
        <v>0</v>
      </c>
      <c r="BL10" cm="1">
        <f t="array" ref="BL10">SUMPRODUCT(($Y$2:$Y$1000="PS")*(ISNUMBER(FIND(UPPER("selection"),UPPER($Z$2:$Z$1000))))*(ISNUMBER(FIND(UPPER("modification"),UPPER($AA$2:$AA$1000))))*(ISNUMBER(FIND(UPPER("dynamic programming"),UPPER($AB$2:$AB$1000)))))</f>
        <v>0</v>
      </c>
      <c r="BM10" cm="1">
        <f t="array" ref="BM10">SUMPRODUCT(($Y$2:$Y$1000="PS")*(ISNUMBER(FIND(UPPER("selection"),UPPER($Z$2:$Z$1000))))*(ISNUMBER(FIND(UPPER("modification"),UPPER($AA$2:$AA$1000))))*(ISNUMBER(FIND(UPPER("ml-based"),UPPER($AB$2:$AB$1000)))))</f>
        <v>1</v>
      </c>
      <c r="BN10" cm="1">
        <f t="array" ref="BN10">SUMPRODUCT(($Y$2:$Y$1000="PS")*(ISNUMBER(FIND(UPPER("selection"),UPPER($Z$2:$Z$1000))))*(ISNUMBER(FIND(UPPER("modification"),UPPER($AA$2:$AA$1000))))*(ISNUMBER(FIND(UPPER("greedy"),UPPER($AB$2:$AB$1000)))))</f>
        <v>1</v>
      </c>
      <c r="BX10" t="s">
        <v>1321</v>
      </c>
      <c r="BY10">
        <v>4</v>
      </c>
      <c r="BZ10">
        <v>1</v>
      </c>
      <c r="CA10">
        <v>1</v>
      </c>
      <c r="CB10">
        <v>2</v>
      </c>
      <c r="CC10">
        <v>1</v>
      </c>
      <c r="CD10">
        <v>2</v>
      </c>
      <c r="CE10">
        <v>1</v>
      </c>
      <c r="CG10" t="s">
        <v>129</v>
      </c>
      <c r="CH10">
        <v>1</v>
      </c>
      <c r="CI10">
        <v>1</v>
      </c>
      <c r="CK10">
        <v>1</v>
      </c>
      <c r="CL10">
        <v>1</v>
      </c>
      <c r="CN10">
        <v>2020</v>
      </c>
      <c r="CO10" cm="1">
        <f t="array" ref="CO10">SUMPRODUCT((Y$2:Y$1000="PS")*(F$2:F$1000=$CN10)*(AH$2:AH$1000=0))</f>
        <v>4</v>
      </c>
      <c r="CP10" cm="1">
        <f t="array" ref="CP10">SUMPRODUCT((Y$2:Y$1000="PS")*(F$2:F$1000=$CN10)*(AH$2:AH$1000=0.5))</f>
        <v>0</v>
      </c>
      <c r="CQ10" cm="1">
        <f t="array" ref="CQ10">SUMPRODUCT((Y$2:Y$1000="PS")*(F$2:F$1000=$CN10)*(AH$2:AH$1000=1))</f>
        <v>3</v>
      </c>
      <c r="CZ10" s="34"/>
      <c r="DH10" s="34"/>
      <c r="DI10" s="34"/>
      <c r="DT10" s="34"/>
      <c r="FQ10" t="s">
        <v>1276</v>
      </c>
      <c r="FR10" s="35" cm="1">
        <f t="array" ref="FR10">SUMPRODUCT((Y$2:Y$1000="PS")*ISNUMBER(SEARCH(LOWER(FQ10),LOWER(AA$2:AA$1000)))*ISNUMBER(SEARCH("prioritization",LOWER(Z$2:Z$1000))))</f>
        <v>5</v>
      </c>
      <c r="FV10">
        <v>2020</v>
      </c>
      <c r="FW10" s="35" cm="1">
        <f t="array" ref="FW10">SUMPRODUCT((Y$2:Y$1000="PS")*(F$2:F$1000=FV10)*ISNUMBER(SEARCH("prioritization",LOWER(Z$2:Z$1000)))*ISNUMBER(SEARCH("coverage",LOWER(AA$2:AA$1000))))</f>
        <v>4</v>
      </c>
      <c r="FX10" s="35" cm="1">
        <f t="array" ref="FX10">SUMPRODUCT((Y$2:Y$1000="PS")*(F$2:F$1000=FV10)*ISNUMBER(SEARCH("prioritization",LOWER(Z$2:Z$1000)))*ISNUMBER(SEARCH("requirement",LOWER(AA$2:AA$1000))))</f>
        <v>0</v>
      </c>
      <c r="FY10" s="35" cm="1">
        <f t="array" ref="FY10">SUMPRODUCT((Y$2:Y$1000="PS")*(F$2:F$1000=FV10)*ISNUMBER(SEARCH("prioritization",LOWER(Z$2:Z$1000)))*ISNUMBER(SEARCH("probab",LOWER(AA$2:AA$1000))))</f>
        <v>1</v>
      </c>
      <c r="FZ10" s="35" cm="1">
        <f t="array" ref="FZ10">SUMPRODUCT((Y$2:Y$1000="PS")*(F$2:F$1000=FV10)*ISNUMBER(SEARCH("prioritization",LOWER(Z$2:Z$1000)))*ISNUMBER(SEARCH("distribution",LOWER(AA$2:AA$1000))))</f>
        <v>0</v>
      </c>
      <c r="GA10" s="35" cm="1">
        <f t="array" ref="GA10">SUMPRODUCT((Y$2:Y$1000="PS")*(F$2:F$1000=FV10)*ISNUMBER(SEARCH("prioritization",LOWER(Z$2:Z$1000)))*ISNUMBER(SEARCH("clustering",LOWER(AA$2:AA$1000))))</f>
        <v>0</v>
      </c>
      <c r="GB10" s="35" cm="1">
        <f t="array" ref="GB10">SUMPRODUCT((Y$2:Y$1000="PS")*(F$2:F$1000=FV10)*ISNUMBER(SEARCH("prioritization",LOWER(Z$2:Z$1000)))*ISNUMBER(SEARCH("history",LOWER(AA$2:AA$1000))))</f>
        <v>0</v>
      </c>
      <c r="GC10" s="35" cm="1">
        <f t="array" ref="GC10">SUMPRODUCT((Y$2:Y$1000="PS")*(F$2:F$1000=FV10)*ISNUMBER(SEARCH("prioritization",LOWER(Z$2:Z$1000)))*ISNUMBER(SEARCH("model",LOWER(AA$2:AA$1000))))</f>
        <v>1</v>
      </c>
      <c r="GD10" s="35" cm="1">
        <f t="array" ref="GD10">SUMPRODUCT((Y$2:Y$1000="PS")*(F$2:F$1000=FV10)*ISNUMBER(SEARCH("prioritization",LOWER(Z$2:Z$1000)))*ISNUMBER(SEARCH("cost-aware",LOWER(AA$2:AA$1000))))</f>
        <v>0</v>
      </c>
      <c r="GE10" s="35" cm="1">
        <f t="array" ref="GE10">SUMPRODUCT((Y$2:Y$1000="PS")*(F$2:F$1000=FV10)*ISNUMBER(SEARCH("prioritization",LOWER(Z$2:Z$1000)))*ISNUMBER(SEARCH("similarity",LOWER(AA$2:AA$1000))))</f>
        <v>0</v>
      </c>
      <c r="GF10" s="35" cm="1">
        <f t="array" ref="GF10">SUMPRODUCT((Y$2:Y$1000="PS")*(F$2:F$1000=FV10)*ISNUMBER(SEARCH("prioritization",LOWER(Z$2:Z$1000)))*ISNUMBER(SEARCH("input",LOWER(AA$2:AA$1000))))</f>
        <v>0</v>
      </c>
      <c r="GG10" s="35" cm="1">
        <f t="array" ref="GG10">SUMPRODUCT((Y$2:Y$1000="PS")*(F$2:F$1000=FV10)*ISNUMBER(SEARCH("prioritization",LOWER(Z$2:Z$1000)))*ISNUMBER(SEARCH("structure",LOWER(AA$2:AA$1000))))</f>
        <v>0</v>
      </c>
      <c r="GH10" s="35" cm="1">
        <f t="array" ref="GH10">SUMPRODUCT((Y$2:Y$1000="PS")*(F$2:F$1000=FV10)*ISNUMBER(SEARCH("prioritization",LOWER(Z$2:Z$1000)))*ISNUMBER(SEARCH("change",LOWER(AA$2:AA$1000))))</f>
        <v>0</v>
      </c>
      <c r="GI10" s="35" cm="1">
        <f t="array" ref="GI10">SUMPRODUCT((Y$2:Y$1000="PS")*(F$2:F$1000=FV10)*ISNUMBER(SEARCH("prioritization",LOWER(Z$2:Z$1000)))*ISNUMBER(SEARCH("ml",LOWER(AA$2:AA$1000))))</f>
        <v>0</v>
      </c>
      <c r="GJ10" s="35" cm="1">
        <f t="array" ref="GJ10">SUMPRODUCT((Y$2:Y$1000="PS")*(F$2:F$1000=FV10)*ISNUMBER(SEARCH("prioritization",LOWER(Z$2:Z$1000)))*ISNUMBER(SEARCH("heuristic",LOWER(AA$2:AA$1000))))</f>
        <v>0</v>
      </c>
      <c r="GK10" s="35" cm="1">
        <f t="array" ref="GK10">SUMPRODUCT((Y$2:Y$1000="PS")*(F$2:F$1000=FV10)*ISNUMBER(SEARCH("prioritization",LOWER(Z$2:Z$1000)))*ISNUMBER(SEARCH("search",LOWER(AA$2:AA$1000))))</f>
        <v>0</v>
      </c>
      <c r="GL10" s="35" cm="1">
        <f t="array" ref="GL10">SUMPRODUCT((Y$2:Y$1000="PS")*(F$2:F$1000=FV10)*ISNUMBER(SEARCH("prioritization",LOWER(Z$2:Z$1000)))*ISNUMBER(SEARCH("transfer",LOWER(AA$2:AA$1000))))</f>
        <v>0</v>
      </c>
      <c r="GM10" s="35" cm="1">
        <f t="array" ref="GM10">SUMPRODUCT((Y$2:Y$1000="PS")*(F$2:F$1000=FV10)*ISNUMBER(SEARCH("prioritization",LOWER(Z$2:Z$1000)))*ISNUMBER(SEARCH("riski",LOWER(AA$2:AA$1000))))</f>
        <v>0</v>
      </c>
      <c r="GN10" s="35" cm="1">
        <f t="array" ref="GN10">SUMPRODUCT((Y$2:Y$1000="PS")*(F$2:F$1000=FV10)*ISNUMBER(SEARCH("prioritization",LOWER(Z$2:Z$1000)))*ISNUMBER(SEARCH("nlp",LOWER(AA$2:AA$1000))))</f>
        <v>0</v>
      </c>
      <c r="GO10" s="35" cm="1">
        <f t="array" ref="GO10">SUMPRODUCT((Y$2:Y$1000="PS")*(F$2:F$1000=FV10)*ISNUMBER(SEARCH("prioritization",LOWER(Z$2:Z$1000)))*ISNUMBER(SEARCH("design",LOWER(AA$2:AA$1000))))</f>
        <v>0</v>
      </c>
      <c r="GP10" s="35" cm="1">
        <f t="array" ref="GP10">SUMPRODUCT((Y$2:Y$1000="PS")*(F$2:F$1000=FV10)*ISNUMBER(SEARCH("prioritization",LOWER(Z$2:Z$1000)))*ISNUMBER(SEARCH("other",LOWER(AA$2:AA$1000))))</f>
        <v>1</v>
      </c>
      <c r="GQ10">
        <f t="shared" si="8"/>
        <v>0</v>
      </c>
      <c r="GZ10">
        <v>2020</v>
      </c>
      <c r="HA10" cm="1">
        <f t="array" ref="HA10">SUMPRODUCT((Y$2:Y$1000="PS")*(F$2:F$1000=GZ10)*ISNUMBER(SEARCH("prioritization",LOWER(Z$2:Z$1000)))*ISNUMBER(SEARCH(LOWER("metaheuristic"),LOWER(AB$2:AB$1000))))</f>
        <v>0</v>
      </c>
      <c r="HB10" cm="1">
        <f t="array" ref="HB10">SUMPRODUCT((Y$2:Y$1000="PS")*(F$2:F$1000=GZ10)*ISNUMBER(SEARCH("prioritization",LOWER(Z$2:Z$1000)))*ISNUMBER(SEARCH(LOWER("search"),LOWER(AB$2:AB$1000))))</f>
        <v>0</v>
      </c>
      <c r="HC10" cm="1">
        <f t="array" ref="HC10">SUMPRODUCT((Y$2:Y$1000="PS")*(F$2:F$1000=GZ10)*ISNUMBER(SEARCH("prioritization",LOWER(Z$2:Z$1000)))*ISNUMBER(SEARCH(LOWER("heuristic"),LOWER(AB$2:AB$1000))))</f>
        <v>2</v>
      </c>
      <c r="HD10" cm="1">
        <f t="array" ref="HD10">SUMPRODUCT((Y$2:Y$1000="PS")*(F$2:F$1000=GZ10)*ISNUMBER(SEARCH("prioritization",LOWER(Z$2:Z$1000)))*ISNUMBER(SEARCH(LOWER("ml"),LOWER(AB$2:AB$1000))))</f>
        <v>2</v>
      </c>
      <c r="HE10" cm="1">
        <f t="array" ref="HE10">SUMPRODUCT((Y$2:Y$1000="PS")*(F$2:F$1000=GZ10)*ISNUMBER(SEARCH("prioritization",LOWER(Z$2:Z$1000)))*ISNUMBER(SEARCH(LOWER("rule"),LOWER(AB$2:AB$1000))))</f>
        <v>0</v>
      </c>
      <c r="HF10" cm="1">
        <f t="array" ref="HF10">SUMPRODUCT((Y$2:Y$1000="PS")*(F$2:F$1000=GZ10)*ISNUMBER(SEARCH("prioritization",LOWER(Z$2:Z$1000)))*ISNUMBER(SEARCH(LOWER(HF$2),LOWER(AB$2:AB$1000))))</f>
        <v>0</v>
      </c>
      <c r="HG10" cm="1">
        <f t="array" ref="HG10">SUMPRODUCT((Y$2:Y$1000="PS")*(F$2:F$1000=GZ10)*ISNUMBER(SEARCH("prioritization",LOWER(Z$2:Z$1000)))*ISNUMBER(SEARCH(LOWER("model"),LOWER(AB$2:AB$1000))))</f>
        <v>0</v>
      </c>
      <c r="HH10" cm="1">
        <f t="array" ref="HH10">SUMPRODUCT((Y$2:Y$1000="PS")*(F$2:F$1000=GZ10)*ISNUMBER(SEARCH("prioritization",LOWER(Z$2:Z$1000)))*ISNUMBER(SEARCH(LOWER(HH$2),LOWER(AB$2:AB$1000))))</f>
        <v>0</v>
      </c>
      <c r="HI10" cm="1">
        <f t="array" ref="HI10">SUMPRODUCT((Y$2:Y$1000="PS")*(F$2:F$1000=GZ10)*ISNUMBER(SEARCH("prioritization",LOWER(Z$2:Z$1000)))*ISNUMBER(SEARCH(LOWER("quantum"),LOWER(AB$2:AB$1000))))</f>
        <v>0</v>
      </c>
      <c r="HJ10" cm="1">
        <f t="array" ref="HJ10">SUMPRODUCT((Y$2:Y$1000="PS")*(F$2:F$1000=GZ10)*ISNUMBER(SEARCH("prioritization",LOWER(Z$2:Z$1000)))*ISNUMBER(SEARCH(LOWER("genetic"),LOWER(AB$2:AB$1000))))</f>
        <v>0</v>
      </c>
      <c r="HK10" cm="1">
        <f t="array" ref="HK10">SUMPRODUCT((Y$2:Y$1000="PS")*(F$2:F$1000=GZ10)*ISNUMBER(SEARCH("prioritization",LOWER(Z$2:Z$1000)))*ISNUMBER(SEARCH(LOWER("graph"),LOWER(AB$2:AB$1000))))</f>
        <v>0</v>
      </c>
      <c r="HL10" cm="1">
        <f t="array" ref="HL10">SUMPRODUCT((Y$2:Y$1000="PS")*(F$2:F$1000=GZ10)*ISNUMBER(SEARCH("prioritization",LOWER(Z$2:Z$1000)))*ISNUMBER(SEARCH(LOWER("greedy"),LOWER(AB$2:AB$1000))))</f>
        <v>2</v>
      </c>
      <c r="HM10" cm="1">
        <f t="array" ref="HM10">SUMPRODUCT((Y$2:Y$1000="PS")*(F$2:F$1000=GZ10)*ISNUMBER(SEARCH("prioritization",LOWER(Z$2:Z$1000)))*ISNUMBER(SEARCH(LOWER("dynamic"),LOWER(AB$2:AB$1000))))</f>
        <v>0</v>
      </c>
    </row>
    <row r="11" spans="1:221" ht="409.6">
      <c r="A11" s="2">
        <v>8305939</v>
      </c>
      <c r="B11" s="2" t="s">
        <v>34</v>
      </c>
      <c r="C11" s="2" t="s">
        <v>160</v>
      </c>
      <c r="D11" s="2" t="s">
        <v>161</v>
      </c>
      <c r="E11" s="2" t="s">
        <v>162</v>
      </c>
      <c r="F11" s="2">
        <v>2017</v>
      </c>
      <c r="G11" s="2"/>
      <c r="H11" s="2"/>
      <c r="I11" s="2" t="s">
        <v>163</v>
      </c>
      <c r="J11" s="2" t="s">
        <v>164</v>
      </c>
      <c r="K11" s="2" t="s">
        <v>165</v>
      </c>
      <c r="L11" s="2" t="s">
        <v>166</v>
      </c>
      <c r="M11" s="2"/>
      <c r="N11" s="2" t="s">
        <v>167</v>
      </c>
      <c r="O11" s="2"/>
      <c r="P11" s="2"/>
      <c r="Q11" s="2"/>
      <c r="R11" s="2"/>
      <c r="S11" s="2"/>
      <c r="T11" s="2"/>
      <c r="U11" s="2"/>
      <c r="V11" s="2"/>
      <c r="W11" s="2"/>
      <c r="X11" s="2" t="s">
        <v>168</v>
      </c>
      <c r="Y11" s="2" t="s">
        <v>58</v>
      </c>
      <c r="Z11" s="2" t="s">
        <v>169</v>
      </c>
      <c r="AA11" s="2" t="s">
        <v>1356</v>
      </c>
      <c r="AB11" s="2" t="s">
        <v>91</v>
      </c>
      <c r="AC11" s="2" t="s">
        <v>62</v>
      </c>
      <c r="AD11" s="2" t="s">
        <v>170</v>
      </c>
      <c r="AE11" s="2" t="s">
        <v>171</v>
      </c>
      <c r="AF11" s="2" t="s">
        <v>172</v>
      </c>
      <c r="AG11" s="2" t="s">
        <v>66</v>
      </c>
      <c r="AH11" s="2">
        <v>0</v>
      </c>
      <c r="AK11">
        <f t="shared" si="6"/>
        <v>1</v>
      </c>
      <c r="AL11">
        <f t="shared" si="0"/>
        <v>0</v>
      </c>
      <c r="AM11">
        <f t="shared" si="1"/>
        <v>0</v>
      </c>
      <c r="AN11">
        <f t="shared" si="2"/>
        <v>1</v>
      </c>
      <c r="AP11">
        <v>2021</v>
      </c>
      <c r="AQ11">
        <f t="shared" si="7"/>
        <v>7</v>
      </c>
      <c r="AR11">
        <f t="shared" si="3"/>
        <v>0</v>
      </c>
      <c r="AS11">
        <f t="shared" si="4"/>
        <v>1</v>
      </c>
      <c r="AT11">
        <f t="shared" si="5"/>
        <v>6</v>
      </c>
      <c r="AY11" t="s">
        <v>966</v>
      </c>
      <c r="AZ11" cm="1">
        <f t="array" ref="AZ11">SUMPRODUCT(($Y$2:$Y$1000="PS")*(ISNUMBER(FIND(UPPER("prioritization"),UPPER($Z$2:$Z$1000))))*(ISNUMBER(FIND(UPPER("other"),UPPER($AA$2:$AA$1000))))*((ISNUMBER(FIND(UPPER("heuristic"),UPPER($AB$2:$AB$1000))))*(NOT(ISNUMBER(FIND(UPPER("meta"),UPPER($AB$2:$AB$1000)))))))</f>
        <v>1</v>
      </c>
      <c r="BA11" cm="1">
        <f t="array" ref="BA11">SUMPRODUCT(($Y$2:$Y$1000="PS")*(ISNUMBER(FIND(UPPER("prioritization"),UPPER($Z$2:$Z$1000))))*(ISNUMBER(FIND(UPPER("other"),UPPER($AA$2:$AA$1000))))*((ISNUMBER(FIND(UPPER("metaheuristic"),UPPER($AB$2:$AB$1000))))+(ISNUMBER(FIND(UPPER("meta-heuristic"),UPPER($AB$2:$AB$1000))))))</f>
        <v>1</v>
      </c>
      <c r="BB11" cm="1">
        <f t="array" ref="BB11">SUMPRODUCT(($Y$2:$Y$1000="PS")*(ISNUMBER(FIND(UPPER("prioritization"),UPPER($Z$2:$Z$1000))))*(ISNUMBER(FIND(UPPER("other"),UPPER($AA$2:$AA$1000))))*(ISNUMBER(FIND(UPPER("graph"),UPPER($AB$2:$AB$1000)))))</f>
        <v>0</v>
      </c>
      <c r="BC11" cm="1">
        <f t="array" ref="BC11">SUMPRODUCT(($Y$2:$Y$1000="PS")*(ISNUMBER(FIND(UPPER("prioritization"),UPPER($Z$2:$Z$1000))))*(ISNUMBER(FIND(UPPER("other"),UPPER($AA$2:$AA$1000))))*(ISNUMBER(FIND(UPPER("dynamic programming"),UPPER($AB$2:$AB$1000)))))</f>
        <v>0</v>
      </c>
      <c r="BD11" cm="1">
        <f t="array" ref="BD11">SUMPRODUCT(($Y$2:$Y$1000="PS")*(ISNUMBER(FIND(UPPER("prioritization"),UPPER($Z$2:$Z$1000))))*(ISNUMBER(FIND(UPPER("other"),UPPER($AA$2:$AA$1000))))*(ISNUMBER(FIND(UPPER("ml-based"),UPPER($AB$2:$AB$1000)))))</f>
        <v>3</v>
      </c>
      <c r="BE11" s="37" cm="1">
        <f t="array" ref="BE11">SUMPRODUCT(($Y$2:$Y$1000="PS")*(ISNUMBER(FIND(UPPER("prioritization"),UPPER($Z$2:$Z$1000))))*(ISNUMBER(FIND(UPPER("other"),UPPER($AA$2:$AA$1000))))*(ISNUMBER(FIND(UPPER("greedy"),UPPER($AB$2:$AB$1000)))))</f>
        <v>1</v>
      </c>
      <c r="BH11" t="s">
        <v>1334</v>
      </c>
      <c r="BI11" cm="1">
        <f t="array" ref="BI11">SUMPRODUCT(($Y$2:$Y$1000="PS")*(ISNUMBER(FIND(UPPER("selection"),UPPER($Z$2:$Z$1000))))*(ISNUMBER(FIND(UPPER("firewall"),UPPER($AA$2:$AA$1000))))*((ISNUMBER(FIND(UPPER("heuristic"),UPPER($AB$2:$AB$1000))))*(NOT(ISNUMBER(FIND(UPPER("meta"),UPPER($AB$2:$AB$1000)))))))</f>
        <v>0</v>
      </c>
      <c r="BJ11" cm="1">
        <f t="array" ref="BJ11">SUMPRODUCT(($Y$2:$Y$1000="PS")*(ISNUMBER(FIND(UPPER("selection"),UPPER($Z$2:$Z$1000))))*(ISNUMBER(FIND(UPPER("firewall"),UPPER($AA$2:$AA$1000))))*((ISNUMBER(FIND(UPPER("metaheuristic"),UPPER($AB$2:$AB$1000))))+(ISNUMBER(FIND(UPPER("meta-heuristic"),UPPER($AB$2:$AB$1000))))))</f>
        <v>0</v>
      </c>
      <c r="BK11" cm="1">
        <f t="array" ref="BK11">SUMPRODUCT(($Y$2:$Y$1000="PS")*(ISNUMBER(FIND(UPPER("selection"),UPPER($Z$2:$Z$1000))))*(ISNUMBER(FIND(UPPER("firewall"),UPPER($AA$2:$AA$1000))))*(ISNUMBER(FIND(UPPER("graph"),UPPER($AB$2:$AB$1000)))))</f>
        <v>0</v>
      </c>
      <c r="BL11" cm="1">
        <f t="array" ref="BL11">SUMPRODUCT(($Y$2:$Y$1000="PS")*(ISNUMBER(FIND(UPPER("selection"),UPPER($Z$2:$Z$1000))))*(ISNUMBER(FIND(UPPER("firewall"),UPPER($AA$2:$AA$1000))))*(ISNUMBER(FIND(UPPER("dynamic programming"),UPPER($AB$2:$AB$1000)))))</f>
        <v>0</v>
      </c>
      <c r="BM11" cm="1">
        <f t="array" ref="BM11">SUMPRODUCT(($Y$2:$Y$1000="PS")*(ISNUMBER(FIND(UPPER("selection"),UPPER($Z$2:$Z$1000))))*(ISNUMBER(FIND(UPPER("firewall"),UPPER($AA$2:$AA$1000))))*(ISNUMBER(FIND(UPPER("ml-based"),UPPER($AB$2:$AB$1000)))))</f>
        <v>0</v>
      </c>
      <c r="BN11" cm="1">
        <f t="array" ref="BN11">SUMPRODUCT(($Y$2:$Y$1000="PS")*(ISNUMBER(FIND(UPPER("selection"),UPPER($Z$2:$Z$1000))))*(ISNUMBER(FIND(UPPER("firewall"),UPPER($AA$2:$AA$1000))))*(ISNUMBER(FIND(UPPER("greedy"),UPPER($AB$2:$AB$1000)))))</f>
        <v>0</v>
      </c>
      <c r="BX11" t="s">
        <v>966</v>
      </c>
      <c r="CG11" t="s">
        <v>1334</v>
      </c>
      <c r="CN11">
        <v>2021</v>
      </c>
      <c r="CO11" cm="1">
        <f t="array" ref="CO11">SUMPRODUCT((Y$2:Y$1000="PS")*(F$2:F$1000=$CN11)*(AH$2:AH$1000=0))</f>
        <v>2</v>
      </c>
      <c r="CP11" cm="1">
        <f t="array" ref="CP11">SUMPRODUCT((Y$2:Y$1000="PS")*(F$2:F$1000=$CN11)*(AH$2:AH$1000=0.5))</f>
        <v>2</v>
      </c>
      <c r="CQ11" cm="1">
        <f t="array" ref="CQ11">SUMPRODUCT((Y$2:Y$1000="PS")*(F$2:F$1000=$CN11)*(AH$2:AH$1000=1))</f>
        <v>3</v>
      </c>
      <c r="CZ11" s="34"/>
      <c r="DH11" s="34"/>
      <c r="DI11" s="34"/>
      <c r="FQ11" t="s">
        <v>1277</v>
      </c>
      <c r="FR11" s="35" cm="1">
        <f t="array" ref="FR11">SUMPRODUCT((Y$2:Y$1000="PS")*ISNUMBER(SEARCH(LOWER(FQ11),LOWER(AA$2:AA$1000)))*ISNUMBER(SEARCH("prioritization",LOWER(Z$2:Z$1000))))</f>
        <v>0</v>
      </c>
      <c r="FV11">
        <v>2021</v>
      </c>
      <c r="FW11" s="35" cm="1">
        <f t="array" ref="FW11">SUMPRODUCT((Y$2:Y$1000="PS")*(F$2:F$1000=FV11)*ISNUMBER(SEARCH("prioritization",LOWER(Z$2:Z$1000)))*ISNUMBER(SEARCH("coverage",LOWER(AA$2:AA$1000))))</f>
        <v>1</v>
      </c>
      <c r="FX11" s="35" cm="1">
        <f t="array" ref="FX11">SUMPRODUCT((Y$2:Y$1000="PS")*(F$2:F$1000=FV11)*ISNUMBER(SEARCH("prioritization",LOWER(Z$2:Z$1000)))*ISNUMBER(SEARCH("requirement",LOWER(AA$2:AA$1000))))</f>
        <v>0</v>
      </c>
      <c r="FY11" s="35" cm="1">
        <f t="array" ref="FY11">SUMPRODUCT((Y$2:Y$1000="PS")*(F$2:F$1000=FV11)*ISNUMBER(SEARCH("prioritization",LOWER(Z$2:Z$1000)))*ISNUMBER(SEARCH("probab",LOWER(AA$2:AA$1000))))</f>
        <v>1</v>
      </c>
      <c r="FZ11" s="35" cm="1">
        <f t="array" ref="FZ11">SUMPRODUCT((Y$2:Y$1000="PS")*(F$2:F$1000=FV11)*ISNUMBER(SEARCH("prioritization",LOWER(Z$2:Z$1000)))*ISNUMBER(SEARCH("distribution",LOWER(AA$2:AA$1000))))</f>
        <v>0</v>
      </c>
      <c r="GA11" s="35" cm="1">
        <f t="array" ref="GA11">SUMPRODUCT((Y$2:Y$1000="PS")*(F$2:F$1000=FV11)*ISNUMBER(SEARCH("prioritization",LOWER(Z$2:Z$1000)))*ISNUMBER(SEARCH("clustering",LOWER(AA$2:AA$1000))))</f>
        <v>1</v>
      </c>
      <c r="GB11" s="35" cm="1">
        <f t="array" ref="GB11">SUMPRODUCT((Y$2:Y$1000="PS")*(F$2:F$1000=FV11)*ISNUMBER(SEARCH("prioritization",LOWER(Z$2:Z$1000)))*ISNUMBER(SEARCH("history",LOWER(AA$2:AA$1000))))</f>
        <v>2</v>
      </c>
      <c r="GC11" s="35" cm="1">
        <f t="array" ref="GC11">SUMPRODUCT((Y$2:Y$1000="PS")*(F$2:F$1000=FV11)*ISNUMBER(SEARCH("prioritization",LOWER(Z$2:Z$1000)))*ISNUMBER(SEARCH("model",LOWER(AA$2:AA$1000))))</f>
        <v>0</v>
      </c>
      <c r="GD11" s="35" cm="1">
        <f t="array" ref="GD11">SUMPRODUCT((Y$2:Y$1000="PS")*(F$2:F$1000=FV11)*ISNUMBER(SEARCH("prioritization",LOWER(Z$2:Z$1000)))*ISNUMBER(SEARCH("cost-aware",LOWER(AA$2:AA$1000))))</f>
        <v>1</v>
      </c>
      <c r="GE11" s="35" cm="1">
        <f t="array" ref="GE11">SUMPRODUCT((Y$2:Y$1000="PS")*(F$2:F$1000=FV11)*ISNUMBER(SEARCH("prioritization",LOWER(Z$2:Z$1000)))*ISNUMBER(SEARCH("similarity",LOWER(AA$2:AA$1000))))</f>
        <v>0</v>
      </c>
      <c r="GF11" s="35" cm="1">
        <f t="array" ref="GF11">SUMPRODUCT((Y$2:Y$1000="PS")*(F$2:F$1000=FV11)*ISNUMBER(SEARCH("prioritization",LOWER(Z$2:Z$1000)))*ISNUMBER(SEARCH("input",LOWER(AA$2:AA$1000))))</f>
        <v>0</v>
      </c>
      <c r="GG11" s="35" cm="1">
        <f t="array" ref="GG11">SUMPRODUCT((Y$2:Y$1000="PS")*(F$2:F$1000=FV11)*ISNUMBER(SEARCH("prioritization",LOWER(Z$2:Z$1000)))*ISNUMBER(SEARCH("structure",LOWER(AA$2:AA$1000))))</f>
        <v>0</v>
      </c>
      <c r="GH11" s="35" cm="1">
        <f t="array" ref="GH11">SUMPRODUCT((Y$2:Y$1000="PS")*(F$2:F$1000=FV11)*ISNUMBER(SEARCH("prioritization",LOWER(Z$2:Z$1000)))*ISNUMBER(SEARCH("change",LOWER(AA$2:AA$1000))))</f>
        <v>0</v>
      </c>
      <c r="GI11" s="35" cm="1">
        <f t="array" ref="GI11">SUMPRODUCT((Y$2:Y$1000="PS")*(F$2:F$1000=FV11)*ISNUMBER(SEARCH("prioritization",LOWER(Z$2:Z$1000)))*ISNUMBER(SEARCH("ml",LOWER(AA$2:AA$1000))))</f>
        <v>0</v>
      </c>
      <c r="GJ11" s="35" cm="1">
        <f t="array" ref="GJ11">SUMPRODUCT((Y$2:Y$1000="PS")*(F$2:F$1000=FV11)*ISNUMBER(SEARCH("prioritization",LOWER(Z$2:Z$1000)))*ISNUMBER(SEARCH("heuristic",LOWER(AA$2:AA$1000))))</f>
        <v>0</v>
      </c>
      <c r="GK11" s="35" cm="1">
        <f t="array" ref="GK11">SUMPRODUCT((Y$2:Y$1000="PS")*(F$2:F$1000=FV11)*ISNUMBER(SEARCH("prioritization",LOWER(Z$2:Z$1000)))*ISNUMBER(SEARCH("search",LOWER(AA$2:AA$1000))))</f>
        <v>1</v>
      </c>
      <c r="GL11" s="35" cm="1">
        <f t="array" ref="GL11">SUMPRODUCT((Y$2:Y$1000="PS")*(F$2:F$1000=FV11)*ISNUMBER(SEARCH("prioritization",LOWER(Z$2:Z$1000)))*ISNUMBER(SEARCH("transfer",LOWER(AA$2:AA$1000))))</f>
        <v>0</v>
      </c>
      <c r="GM11" s="35" cm="1">
        <f t="array" ref="GM11">SUMPRODUCT((Y$2:Y$1000="PS")*(F$2:F$1000=FV11)*ISNUMBER(SEARCH("prioritization",LOWER(Z$2:Z$1000)))*ISNUMBER(SEARCH("riski",LOWER(AA$2:AA$1000))))</f>
        <v>0</v>
      </c>
      <c r="GN11" s="35" cm="1">
        <f t="array" ref="GN11">SUMPRODUCT((Y$2:Y$1000="PS")*(F$2:F$1000=FV11)*ISNUMBER(SEARCH("prioritization",LOWER(Z$2:Z$1000)))*ISNUMBER(SEARCH("nlp",LOWER(AA$2:AA$1000))))</f>
        <v>0</v>
      </c>
      <c r="GO11" s="35" cm="1">
        <f t="array" ref="GO11">SUMPRODUCT((Y$2:Y$1000="PS")*(F$2:F$1000=FV11)*ISNUMBER(SEARCH("prioritization",LOWER(Z$2:Z$1000)))*ISNUMBER(SEARCH("design",LOWER(AA$2:AA$1000))))</f>
        <v>0</v>
      </c>
      <c r="GP11" s="35" cm="1">
        <f t="array" ref="GP11">SUMPRODUCT((Y$2:Y$1000="PS")*(F$2:F$1000=FV11)*ISNUMBER(SEARCH("prioritization",LOWER(Z$2:Z$1000)))*ISNUMBER(SEARCH("other",LOWER(AA$2:AA$1000))))</f>
        <v>1</v>
      </c>
      <c r="GQ11">
        <f t="shared" si="8"/>
        <v>0</v>
      </c>
      <c r="GZ11">
        <v>2021</v>
      </c>
      <c r="HA11" cm="1">
        <f t="array" ref="HA11">SUMPRODUCT((Y$2:Y$1000="PS")*(F$2:F$1000=GZ11)*ISNUMBER(SEARCH("prioritization",LOWER(Z$2:Z$1000)))*ISNUMBER(SEARCH(LOWER("metaheuristic"),LOWER(AB$2:AB$1000))))</f>
        <v>0</v>
      </c>
      <c r="HB11" cm="1">
        <f t="array" ref="HB11">SUMPRODUCT((Y$2:Y$1000="PS")*(F$2:F$1000=GZ11)*ISNUMBER(SEARCH("prioritization",LOWER(Z$2:Z$1000)))*ISNUMBER(SEARCH(LOWER("search"),LOWER(AB$2:AB$1000))))</f>
        <v>0</v>
      </c>
      <c r="HC11" cm="1">
        <f t="array" ref="HC11">SUMPRODUCT((Y$2:Y$1000="PS")*(F$2:F$1000=GZ11)*ISNUMBER(SEARCH("prioritization",LOWER(Z$2:Z$1000)))*ISNUMBER(SEARCH(LOWER("heuristic"),LOWER(AB$2:AB$1000))))</f>
        <v>3</v>
      </c>
      <c r="HD11" cm="1">
        <f t="array" ref="HD11">SUMPRODUCT((Y$2:Y$1000="PS")*(F$2:F$1000=GZ11)*ISNUMBER(SEARCH("prioritization",LOWER(Z$2:Z$1000)))*ISNUMBER(SEARCH(LOWER("ml"),LOWER(AB$2:AB$1000))))</f>
        <v>3</v>
      </c>
      <c r="HE11" cm="1">
        <f t="array" ref="HE11">SUMPRODUCT((Y$2:Y$1000="PS")*(F$2:F$1000=GZ11)*ISNUMBER(SEARCH("prioritization",LOWER(Z$2:Z$1000)))*ISNUMBER(SEARCH(LOWER("rule"),LOWER(AB$2:AB$1000))))</f>
        <v>0</v>
      </c>
      <c r="HF11" cm="1">
        <f t="array" ref="HF11">SUMPRODUCT((Y$2:Y$1000="PS")*(F$2:F$1000=GZ11)*ISNUMBER(SEARCH("prioritization",LOWER(Z$2:Z$1000)))*ISNUMBER(SEARCH(LOWER(HF$2),LOWER(AB$2:AB$1000))))</f>
        <v>0</v>
      </c>
      <c r="HG11" cm="1">
        <f t="array" ref="HG11">SUMPRODUCT((Y$2:Y$1000="PS")*(F$2:F$1000=GZ11)*ISNUMBER(SEARCH("prioritization",LOWER(Z$2:Z$1000)))*ISNUMBER(SEARCH(LOWER("model"),LOWER(AB$2:AB$1000))))</f>
        <v>0</v>
      </c>
      <c r="HH11" cm="1">
        <f t="array" ref="HH11">SUMPRODUCT((Y$2:Y$1000="PS")*(F$2:F$1000=GZ11)*ISNUMBER(SEARCH("prioritization",LOWER(Z$2:Z$1000)))*ISNUMBER(SEARCH(LOWER(HH$2),LOWER(AB$2:AB$1000))))</f>
        <v>0</v>
      </c>
      <c r="HI11" cm="1">
        <f t="array" ref="HI11">SUMPRODUCT((Y$2:Y$1000="PS")*(F$2:F$1000=GZ11)*ISNUMBER(SEARCH("prioritization",LOWER(Z$2:Z$1000)))*ISNUMBER(SEARCH(LOWER("quantum"),LOWER(AB$2:AB$1000))))</f>
        <v>0</v>
      </c>
      <c r="HJ11" cm="1">
        <f t="array" ref="HJ11">SUMPRODUCT((Y$2:Y$1000="PS")*(F$2:F$1000=GZ11)*ISNUMBER(SEARCH("prioritization",LOWER(Z$2:Z$1000)))*ISNUMBER(SEARCH(LOWER("genetic"),LOWER(AB$2:AB$1000))))</f>
        <v>0</v>
      </c>
      <c r="HK11" cm="1">
        <f t="array" ref="HK11">SUMPRODUCT((Y$2:Y$1000="PS")*(F$2:F$1000=GZ11)*ISNUMBER(SEARCH("prioritization",LOWER(Z$2:Z$1000)))*ISNUMBER(SEARCH(LOWER("graph"),LOWER(AB$2:AB$1000))))</f>
        <v>0</v>
      </c>
      <c r="HL11" cm="1">
        <f t="array" ref="HL11">SUMPRODUCT((Y$2:Y$1000="PS")*(F$2:F$1000=GZ11)*ISNUMBER(SEARCH("prioritization",LOWER(Z$2:Z$1000)))*ISNUMBER(SEARCH(LOWER("greedy"),LOWER(AB$2:AB$1000))))</f>
        <v>0</v>
      </c>
      <c r="HM11" cm="1">
        <f t="array" ref="HM11">SUMPRODUCT((Y$2:Y$1000="PS")*(F$2:F$1000=GZ11)*ISNUMBER(SEARCH("prioritization",LOWER(Z$2:Z$1000)))*ISNUMBER(SEARCH(LOWER("dynamic"),LOWER(AB$2:AB$1000))))</f>
        <v>0</v>
      </c>
    </row>
    <row r="12" spans="1:221" ht="409.6">
      <c r="A12" s="2">
        <v>9796413</v>
      </c>
      <c r="B12" s="2" t="s">
        <v>34</v>
      </c>
      <c r="C12" s="2" t="s">
        <v>173</v>
      </c>
      <c r="D12" s="2" t="s">
        <v>174</v>
      </c>
      <c r="E12" s="2" t="s">
        <v>175</v>
      </c>
      <c r="F12" s="2">
        <v>2022</v>
      </c>
      <c r="G12" s="2"/>
      <c r="H12" s="2"/>
      <c r="I12" s="2" t="s">
        <v>176</v>
      </c>
      <c r="J12" s="2" t="s">
        <v>177</v>
      </c>
      <c r="K12" s="2" t="s">
        <v>178</v>
      </c>
      <c r="L12" s="2" t="s">
        <v>179</v>
      </c>
      <c r="M12" s="2"/>
      <c r="N12" s="2" t="s">
        <v>75</v>
      </c>
      <c r="O12" s="2"/>
      <c r="P12" s="2"/>
      <c r="Q12" s="2"/>
      <c r="R12" s="2"/>
      <c r="S12" s="2"/>
      <c r="T12" s="2"/>
      <c r="U12" s="2"/>
      <c r="V12" s="2"/>
      <c r="W12" s="2"/>
      <c r="X12" s="2" t="s">
        <v>180</v>
      </c>
      <c r="Y12" s="2" t="s">
        <v>58</v>
      </c>
      <c r="Z12" s="2" t="s">
        <v>181</v>
      </c>
      <c r="AA12" s="2" t="s">
        <v>1366</v>
      </c>
      <c r="AB12" s="2" t="s">
        <v>130</v>
      </c>
      <c r="AC12" s="2" t="s">
        <v>131</v>
      </c>
      <c r="AD12" s="2" t="s">
        <v>182</v>
      </c>
      <c r="AE12" s="2" t="s">
        <v>183</v>
      </c>
      <c r="AF12" s="2" t="s">
        <v>184</v>
      </c>
      <c r="AG12" s="2" t="s">
        <v>185</v>
      </c>
      <c r="AH12" s="2">
        <v>0.5</v>
      </c>
      <c r="AK12">
        <f t="shared" si="6"/>
        <v>1</v>
      </c>
      <c r="AL12">
        <f t="shared" si="0"/>
        <v>0</v>
      </c>
      <c r="AM12">
        <f t="shared" si="1"/>
        <v>1</v>
      </c>
      <c r="AN12">
        <f t="shared" si="2"/>
        <v>1</v>
      </c>
      <c r="AP12">
        <v>2022</v>
      </c>
      <c r="AQ12">
        <f t="shared" si="7"/>
        <v>17</v>
      </c>
      <c r="AR12">
        <f t="shared" si="3"/>
        <v>1</v>
      </c>
      <c r="AS12">
        <f t="shared" si="4"/>
        <v>1</v>
      </c>
      <c r="AT12">
        <f t="shared" si="5"/>
        <v>17</v>
      </c>
      <c r="BH12" t="s">
        <v>1335</v>
      </c>
      <c r="BI12" cm="1">
        <f t="array" ref="BI12">SUMPRODUCT(($Y$2:$Y$1000="PS")*(ISNUMBER(FIND(UPPER("selection"),UPPER($Z$2:$Z$1000))))*(ISNUMBER(FIND(UPPER("cluster"),UPPER($AA$2:$AA$1000))))*((ISNUMBER(FIND(UPPER("heuristic"),UPPER($AB$2:$AB$1000))))*(NOT(ISNUMBER(FIND(UPPER("meta"),UPPER($AB$2:$AB$1000)))))))</f>
        <v>0</v>
      </c>
      <c r="BJ12" cm="1">
        <f t="array" ref="BJ12">SUMPRODUCT(($Y$2:$Y$1000="PS")*(ISNUMBER(FIND(UPPER("selection"),UPPER($Z$2:$Z$1000))))*(ISNUMBER(FIND(UPPER("cluster"),UPPER($AA$2:$AA$1000))))*((ISNUMBER(FIND(UPPER("metaheuristic"),UPPER($AB$2:$AB$1000))))+(ISNUMBER(FIND(UPPER("meta-heuristic"),UPPER($AB$2:$AB$1000))))))</f>
        <v>0</v>
      </c>
      <c r="BK12" cm="1">
        <f t="array" ref="BK12">SUMPRODUCT(($Y$2:$Y$1000="PS")*(ISNUMBER(FIND(UPPER("selection"),UPPER($Z$2:$Z$1000))))*(ISNUMBER(FIND(UPPER("cluster"),UPPER($AA$2:$AA$1000))))*(ISNUMBER(FIND(UPPER("graph"),UPPER($AB$2:$AB$1000)))))</f>
        <v>0</v>
      </c>
      <c r="BL12" cm="1">
        <f t="array" ref="BL12">SUMPRODUCT(($Y$2:$Y$1000="PS")*(ISNUMBER(FIND(UPPER("selection"),UPPER($Z$2:$Z$1000))))*(ISNUMBER(FIND(UPPER("cluster"),UPPER($AA$2:$AA$1000))))*(ISNUMBER(FIND(UPPER("dynamic programming"),UPPER($AB$2:$AB$1000)))))</f>
        <v>0</v>
      </c>
      <c r="BM12" cm="1">
        <f t="array" ref="BM12">SUMPRODUCT(($Y$2:$Y$1000="PS")*(ISNUMBER(FIND(UPPER("selection"),UPPER($Z$2:$Z$1000))))*(ISNUMBER(FIND(UPPER("cluster"),UPPER($AA$2:$AA$1000))))*(ISNUMBER(FIND(UPPER("ml-based"),UPPER($AB$2:$AB$1000)))))</f>
        <v>0</v>
      </c>
      <c r="BN12" cm="1">
        <f t="array" ref="BN12">SUMPRODUCT(($Y$2:$Y$1000="PS")*(ISNUMBER(FIND(UPPER("selection"),UPPER($Z$2:$Z$1000))))*(ISNUMBER(FIND(UPPER("cluster"),UPPER($AA$2:$AA$1000))))*(ISNUMBER(FIND(UPPER("greedy"),UPPER($AB$2:$AB$1000)))))</f>
        <v>0</v>
      </c>
      <c r="CG12" t="s">
        <v>1335</v>
      </c>
      <c r="CN12">
        <v>2022</v>
      </c>
      <c r="CO12" cm="1">
        <f t="array" ref="CO12">SUMPRODUCT((Y$2:Y$1000="PS")*(F$2:F$1000=$CN12)*(AH$2:AH$1000=0))</f>
        <v>6</v>
      </c>
      <c r="CP12" cm="1">
        <f t="array" ref="CP12">SUMPRODUCT((Y$2:Y$1000="PS")*(F$2:F$1000=$CN12)*(AH$2:AH$1000=0.5))</f>
        <v>6</v>
      </c>
      <c r="CQ12" cm="1">
        <f t="array" ref="CQ12">SUMPRODUCT((Y$2:Y$1000="PS")*(F$2:F$1000=$CN12)*(AH$2:AH$1000=1))</f>
        <v>4</v>
      </c>
      <c r="CZ12" s="34"/>
      <c r="DH12" s="34"/>
      <c r="DI12" s="34"/>
      <c r="FQ12" t="s">
        <v>1278</v>
      </c>
      <c r="FR12" s="35" cm="1">
        <f t="array" ref="FR12">SUMPRODUCT((Y$2:Y$1000="PS")*ISNUMBER(SEARCH(LOWER(FQ12),LOWER(AA$2:AA$1000)))*ISNUMBER(SEARCH("prioritization",LOWER(Z$2:Z$1000))))</f>
        <v>0</v>
      </c>
      <c r="FV12">
        <v>2022</v>
      </c>
      <c r="FW12" s="35" cm="1">
        <f t="array" ref="FW12">SUMPRODUCT((Y$2:Y$1000="PS")*(F$2:F$1000=FV12)*ISNUMBER(SEARCH("prioritization",LOWER(Z$2:Z$1000)))*ISNUMBER(SEARCH("coverage",LOWER(AA$2:AA$1000))))</f>
        <v>9</v>
      </c>
      <c r="FX12" s="35" cm="1">
        <f t="array" ref="FX12">SUMPRODUCT((Y$2:Y$1000="PS")*(F$2:F$1000=FV12)*ISNUMBER(SEARCH("prioritization",LOWER(Z$2:Z$1000)))*ISNUMBER(SEARCH("requirement",LOWER(AA$2:AA$1000))))</f>
        <v>0</v>
      </c>
      <c r="FY12" s="35" cm="1">
        <f t="array" ref="FY12">SUMPRODUCT((Y$2:Y$1000="PS")*(F$2:F$1000=FV12)*ISNUMBER(SEARCH("prioritization",LOWER(Z$2:Z$1000)))*ISNUMBER(SEARCH("probab",LOWER(AA$2:AA$1000))))</f>
        <v>2</v>
      </c>
      <c r="FZ12" s="35" cm="1">
        <f t="array" ref="FZ12">SUMPRODUCT((Y$2:Y$1000="PS")*(F$2:F$1000=FV12)*ISNUMBER(SEARCH("prioritization",LOWER(Z$2:Z$1000)))*ISNUMBER(SEARCH("distribution",LOWER(AA$2:AA$1000))))</f>
        <v>1</v>
      </c>
      <c r="GA12" s="35" cm="1">
        <f t="array" ref="GA12">SUMPRODUCT((Y$2:Y$1000="PS")*(F$2:F$1000=FV12)*ISNUMBER(SEARCH("prioritization",LOWER(Z$2:Z$1000)))*ISNUMBER(SEARCH("clustering",LOWER(AA$2:AA$1000))))</f>
        <v>0</v>
      </c>
      <c r="GB12" s="35" cm="1">
        <f t="array" ref="GB12">SUMPRODUCT((Y$2:Y$1000="PS")*(F$2:F$1000=FV12)*ISNUMBER(SEARCH("prioritization",LOWER(Z$2:Z$1000)))*ISNUMBER(SEARCH("history",LOWER(AA$2:AA$1000))))</f>
        <v>4</v>
      </c>
      <c r="GC12" s="35" cm="1">
        <f t="array" ref="GC12">SUMPRODUCT((Y$2:Y$1000="PS")*(F$2:F$1000=FV12)*ISNUMBER(SEARCH("prioritization",LOWER(Z$2:Z$1000)))*ISNUMBER(SEARCH("model",LOWER(AA$2:AA$1000))))</f>
        <v>1</v>
      </c>
      <c r="GD12" s="35" cm="1">
        <f t="array" ref="GD12">SUMPRODUCT((Y$2:Y$1000="PS")*(F$2:F$1000=FV12)*ISNUMBER(SEARCH("prioritization",LOWER(Z$2:Z$1000)))*ISNUMBER(SEARCH("cost-aware",LOWER(AA$2:AA$1000))))</f>
        <v>1</v>
      </c>
      <c r="GE12" s="35" cm="1">
        <f t="array" ref="GE12">SUMPRODUCT((Y$2:Y$1000="PS")*(F$2:F$1000=FV12)*ISNUMBER(SEARCH("prioritization",LOWER(Z$2:Z$1000)))*ISNUMBER(SEARCH("similarity",LOWER(AA$2:AA$1000))))</f>
        <v>0</v>
      </c>
      <c r="GF12" s="35" cm="1">
        <f t="array" ref="GF12">SUMPRODUCT((Y$2:Y$1000="PS")*(F$2:F$1000=FV12)*ISNUMBER(SEARCH("prioritization",LOWER(Z$2:Z$1000)))*ISNUMBER(SEARCH("input",LOWER(AA$2:AA$1000))))</f>
        <v>0</v>
      </c>
      <c r="GG12" s="35" cm="1">
        <f t="array" ref="GG12">SUMPRODUCT((Y$2:Y$1000="PS")*(F$2:F$1000=FV12)*ISNUMBER(SEARCH("prioritization",LOWER(Z$2:Z$1000)))*ISNUMBER(SEARCH("structure",LOWER(AA$2:AA$1000))))</f>
        <v>0</v>
      </c>
      <c r="GH12" s="35" cm="1">
        <f t="array" ref="GH12">SUMPRODUCT((Y$2:Y$1000="PS")*(F$2:F$1000=FV12)*ISNUMBER(SEARCH("prioritization",LOWER(Z$2:Z$1000)))*ISNUMBER(SEARCH("change",LOWER(AA$2:AA$1000))))</f>
        <v>0</v>
      </c>
      <c r="GI12" s="35" cm="1">
        <f t="array" ref="GI12">SUMPRODUCT((Y$2:Y$1000="PS")*(F$2:F$1000=FV12)*ISNUMBER(SEARCH("prioritization",LOWER(Z$2:Z$1000)))*ISNUMBER(SEARCH("ml",LOWER(AA$2:AA$1000))))</f>
        <v>0</v>
      </c>
      <c r="GJ12" s="35" cm="1">
        <f t="array" ref="GJ12">SUMPRODUCT((Y$2:Y$1000="PS")*(F$2:F$1000=FV12)*ISNUMBER(SEARCH("prioritization",LOWER(Z$2:Z$1000)))*ISNUMBER(SEARCH("heuristic",LOWER(AA$2:AA$1000))))</f>
        <v>0</v>
      </c>
      <c r="GK12" s="35" cm="1">
        <f t="array" ref="GK12">SUMPRODUCT((Y$2:Y$1000="PS")*(F$2:F$1000=FV12)*ISNUMBER(SEARCH("prioritization",LOWER(Z$2:Z$1000)))*ISNUMBER(SEARCH("search",LOWER(AA$2:AA$1000))))</f>
        <v>0</v>
      </c>
      <c r="GL12" s="35" cm="1">
        <f t="array" ref="GL12">SUMPRODUCT((Y$2:Y$1000="PS")*(F$2:F$1000=FV12)*ISNUMBER(SEARCH("prioritization",LOWER(Z$2:Z$1000)))*ISNUMBER(SEARCH("transfer",LOWER(AA$2:AA$1000))))</f>
        <v>0</v>
      </c>
      <c r="GM12" s="35" cm="1">
        <f t="array" ref="GM12">SUMPRODUCT((Y$2:Y$1000="PS")*(F$2:F$1000=FV12)*ISNUMBER(SEARCH("prioritization",LOWER(Z$2:Z$1000)))*ISNUMBER(SEARCH("riski",LOWER(AA$2:AA$1000))))</f>
        <v>0</v>
      </c>
      <c r="GN12" s="35" cm="1">
        <f t="array" ref="GN12">SUMPRODUCT((Y$2:Y$1000="PS")*(F$2:F$1000=FV12)*ISNUMBER(SEARCH("prioritization",LOWER(Z$2:Z$1000)))*ISNUMBER(SEARCH("nlp",LOWER(AA$2:AA$1000))))</f>
        <v>0</v>
      </c>
      <c r="GO12" s="35" cm="1">
        <f t="array" ref="GO12">SUMPRODUCT((Y$2:Y$1000="PS")*(F$2:F$1000=FV12)*ISNUMBER(SEARCH("prioritization",LOWER(Z$2:Z$1000)))*ISNUMBER(SEARCH("design",LOWER(AA$2:AA$1000))))</f>
        <v>0</v>
      </c>
      <c r="GP12" s="35" cm="1">
        <f t="array" ref="GP12">SUMPRODUCT((Y$2:Y$1000="PS")*(F$2:F$1000=FV12)*ISNUMBER(SEARCH("prioritization",LOWER(Z$2:Z$1000)))*ISNUMBER(SEARCH("other",LOWER(AA$2:AA$1000))))</f>
        <v>1</v>
      </c>
      <c r="GQ12">
        <f t="shared" si="8"/>
        <v>0</v>
      </c>
      <c r="GZ12">
        <v>2022</v>
      </c>
      <c r="HA12" cm="1">
        <f t="array" ref="HA12">SUMPRODUCT((Y$2:Y$1000="PS")*(F$2:F$1000=GZ12)*ISNUMBER(SEARCH("prioritization",LOWER(Z$2:Z$1000)))*ISNUMBER(SEARCH(LOWER("metaheuristic"),LOWER(AB$2:AB$1000))))</f>
        <v>0</v>
      </c>
      <c r="HB12" cm="1">
        <f t="array" ref="HB12">SUMPRODUCT((Y$2:Y$1000="PS")*(F$2:F$1000=GZ12)*ISNUMBER(SEARCH("prioritization",LOWER(Z$2:Z$1000)))*ISNUMBER(SEARCH(LOWER("search"),LOWER(AB$2:AB$1000))))</f>
        <v>0</v>
      </c>
      <c r="HC12" cm="1">
        <f t="array" ref="HC12">SUMPRODUCT((Y$2:Y$1000="PS")*(F$2:F$1000=GZ12)*ISNUMBER(SEARCH("prioritization",LOWER(Z$2:Z$1000)))*ISNUMBER(SEARCH(LOWER("heuristic"),LOWER(AB$2:AB$1000))))</f>
        <v>8</v>
      </c>
      <c r="HD12" cm="1">
        <f t="array" ref="HD12">SUMPRODUCT((Y$2:Y$1000="PS")*(F$2:F$1000=GZ12)*ISNUMBER(SEARCH("prioritization",LOWER(Z$2:Z$1000)))*ISNUMBER(SEARCH(LOWER("ml"),LOWER(AB$2:AB$1000))))</f>
        <v>5</v>
      </c>
      <c r="HE12" cm="1">
        <f t="array" ref="HE12">SUMPRODUCT((Y$2:Y$1000="PS")*(F$2:F$1000=GZ12)*ISNUMBER(SEARCH("prioritization",LOWER(Z$2:Z$1000)))*ISNUMBER(SEARCH(LOWER("rule"),LOWER(AB$2:AB$1000))))</f>
        <v>0</v>
      </c>
      <c r="HF12" cm="1">
        <f t="array" ref="HF12">SUMPRODUCT((Y$2:Y$1000="PS")*(F$2:F$1000=GZ12)*ISNUMBER(SEARCH("prioritization",LOWER(Z$2:Z$1000)))*ISNUMBER(SEARCH(LOWER(HF$2),LOWER(AB$2:AB$1000))))</f>
        <v>0</v>
      </c>
      <c r="HG12" cm="1">
        <f t="array" ref="HG12">SUMPRODUCT((Y$2:Y$1000="PS")*(F$2:F$1000=GZ12)*ISNUMBER(SEARCH("prioritization",LOWER(Z$2:Z$1000)))*ISNUMBER(SEARCH(LOWER("model"),LOWER(AB$2:AB$1000))))</f>
        <v>0</v>
      </c>
      <c r="HH12" cm="1">
        <f t="array" ref="HH12">SUMPRODUCT((Y$2:Y$1000="PS")*(F$2:F$1000=GZ12)*ISNUMBER(SEARCH("prioritization",LOWER(Z$2:Z$1000)))*ISNUMBER(SEARCH(LOWER(HH$2),LOWER(AB$2:AB$1000))))</f>
        <v>0</v>
      </c>
      <c r="HI12" cm="1">
        <f t="array" ref="HI12">SUMPRODUCT((Y$2:Y$1000="PS")*(F$2:F$1000=GZ12)*ISNUMBER(SEARCH("prioritization",LOWER(Z$2:Z$1000)))*ISNUMBER(SEARCH(LOWER("quantum"),LOWER(AB$2:AB$1000))))</f>
        <v>0</v>
      </c>
      <c r="HJ12" cm="1">
        <f t="array" ref="HJ12">SUMPRODUCT((Y$2:Y$1000="PS")*(F$2:F$1000=GZ12)*ISNUMBER(SEARCH("prioritization",LOWER(Z$2:Z$1000)))*ISNUMBER(SEARCH(LOWER("genetic"),LOWER(AB$2:AB$1000))))</f>
        <v>0</v>
      </c>
      <c r="HK12" cm="1">
        <f t="array" ref="HK12">SUMPRODUCT((Y$2:Y$1000="PS")*(F$2:F$1000=GZ12)*ISNUMBER(SEARCH("prioritization",LOWER(Z$2:Z$1000)))*ISNUMBER(SEARCH(LOWER("graph"),LOWER(AB$2:AB$1000))))</f>
        <v>0</v>
      </c>
      <c r="HL12" cm="1">
        <f t="array" ref="HL12">SUMPRODUCT((Y$2:Y$1000="PS")*(F$2:F$1000=GZ12)*ISNUMBER(SEARCH("prioritization",LOWER(Z$2:Z$1000)))*ISNUMBER(SEARCH(LOWER("greedy"),LOWER(AB$2:AB$1000))))</f>
        <v>4</v>
      </c>
      <c r="HM12" cm="1">
        <f t="array" ref="HM12">SUMPRODUCT((Y$2:Y$1000="PS")*(F$2:F$1000=GZ12)*ISNUMBER(SEARCH("prioritization",LOWER(Z$2:Z$1000)))*ISNUMBER(SEARCH(LOWER("dynamic"),LOWER(AB$2:AB$1000))))</f>
        <v>0</v>
      </c>
    </row>
    <row r="13" spans="1:221" ht="409.6">
      <c r="A13" s="2">
        <v>8452804</v>
      </c>
      <c r="B13" s="2" t="s">
        <v>34</v>
      </c>
      <c r="C13" s="2" t="s">
        <v>186</v>
      </c>
      <c r="D13" s="2" t="s">
        <v>187</v>
      </c>
      <c r="E13" s="2" t="s">
        <v>188</v>
      </c>
      <c r="F13" s="2">
        <v>2018</v>
      </c>
      <c r="G13" s="2"/>
      <c r="H13" s="2"/>
      <c r="I13" s="2" t="s">
        <v>189</v>
      </c>
      <c r="J13" s="2" t="s">
        <v>190</v>
      </c>
      <c r="K13" s="2" t="s">
        <v>191</v>
      </c>
      <c r="L13" s="2"/>
      <c r="M13" s="2"/>
      <c r="N13" s="2" t="s">
        <v>75</v>
      </c>
      <c r="O13" s="2"/>
      <c r="P13" s="2"/>
      <c r="Q13" s="2"/>
      <c r="R13" s="2"/>
      <c r="S13" s="2"/>
      <c r="T13" s="2"/>
      <c r="U13" s="2"/>
      <c r="V13" s="2"/>
      <c r="W13" s="2"/>
      <c r="X13" s="2" t="s">
        <v>192</v>
      </c>
      <c r="Y13" s="2" t="s">
        <v>58</v>
      </c>
      <c r="Z13" s="2" t="s">
        <v>193</v>
      </c>
      <c r="AA13" s="2" t="s">
        <v>1368</v>
      </c>
      <c r="AB13" s="2" t="s">
        <v>1383</v>
      </c>
      <c r="AC13" s="2" t="s">
        <v>194</v>
      </c>
      <c r="AD13" s="2" t="s">
        <v>195</v>
      </c>
      <c r="AE13" s="2" t="s">
        <v>196</v>
      </c>
      <c r="AF13" s="2" t="s">
        <v>184</v>
      </c>
      <c r="AG13" s="2" t="s">
        <v>197</v>
      </c>
      <c r="AH13" s="2">
        <v>0</v>
      </c>
      <c r="AK13">
        <f t="shared" si="6"/>
        <v>1</v>
      </c>
      <c r="AL13">
        <f t="shared" si="0"/>
        <v>0</v>
      </c>
      <c r="AM13">
        <f t="shared" si="1"/>
        <v>1</v>
      </c>
      <c r="AN13">
        <f t="shared" si="2"/>
        <v>0</v>
      </c>
      <c r="AP13">
        <v>2023</v>
      </c>
      <c r="AQ13">
        <f t="shared" si="7"/>
        <v>9</v>
      </c>
      <c r="AR13">
        <f t="shared" si="3"/>
        <v>0</v>
      </c>
      <c r="AS13">
        <f t="shared" si="4"/>
        <v>2</v>
      </c>
      <c r="AT13">
        <f t="shared" si="5"/>
        <v>7</v>
      </c>
      <c r="BH13" t="s">
        <v>1325</v>
      </c>
      <c r="BI13" cm="1">
        <f t="array" ref="BI13">SUMPRODUCT(($Y$2:$Y$1000="PS")*(ISNUMBER(FIND(UPPER("selection"),UPPER($Z$2:$Z$1000))))*(ISNUMBER(FIND(UPPER("design"),UPPER($AA$2:$AA$1000))))*((ISNUMBER(FIND(UPPER("heuristic"),UPPER($AB$2:$AB$1000))))*(NOT(ISNUMBER(FIND(UPPER("meta"),UPPER($AB$2:$AB$1000)))))))</f>
        <v>2</v>
      </c>
      <c r="BJ13" cm="1">
        <f t="array" ref="BJ13">SUMPRODUCT(($Y$2:$Y$1000="PS")*(ISNUMBER(FIND(UPPER("selection"),UPPER($Z$2:$Z$1000))))*(ISNUMBER(FIND(UPPER("design"),UPPER($AA$2:$AA$1000))))*((ISNUMBER(FIND(UPPER("metaheuristic"),UPPER($AB$2:$AB$1000))))+(ISNUMBER(FIND(UPPER("meta-heuristic"),UPPER($AB$2:$AB$1000))))))</f>
        <v>0</v>
      </c>
      <c r="BK13" cm="1">
        <f t="array" ref="BK13">SUMPRODUCT(($Y$2:$Y$1000="PS")*(ISNUMBER(FIND(UPPER("selection"),UPPER($Z$2:$Z$1000))))*(ISNUMBER(FIND(UPPER("design"),UPPER($AA$2:$AA$1000))))*(ISNUMBER(FIND(UPPER("graph"),UPPER($AB$2:$AB$1000)))))</f>
        <v>0</v>
      </c>
      <c r="BL13" cm="1">
        <f t="array" ref="BL13">SUMPRODUCT(($Y$2:$Y$1000="PS")*(ISNUMBER(FIND(UPPER("selection"),UPPER($Z$2:$Z$1000))))*(ISNUMBER(FIND(UPPER("design"),UPPER($AA$2:$AA$1000))))*(ISNUMBER(FIND(UPPER("dynamic programming"),UPPER($AB$2:$AB$1000)))))</f>
        <v>0</v>
      </c>
      <c r="BM13" cm="1">
        <f t="array" ref="BM13">SUMPRODUCT(($Y$2:$Y$1000="PS")*(ISNUMBER(FIND(UPPER("selection"),UPPER($Z$2:$Z$1000))))*(ISNUMBER(FIND(UPPER("design"),UPPER($AA$2:$AA$1000))))*(ISNUMBER(FIND(UPPER("ml-based"),UPPER($AB$2:$AB$1000)))))</f>
        <v>0</v>
      </c>
      <c r="BN13" cm="1">
        <f t="array" ref="BN13">SUMPRODUCT(($Y$2:$Y$1000="PS")*(ISNUMBER(FIND(UPPER("selection"),UPPER($Z$2:$Z$1000))))*(ISNUMBER(FIND(UPPER("design"),UPPER($AA$2:$AA$1000))))*(ISNUMBER(FIND(UPPER("greedy"),UPPER($AB$2:$AB$1000)))))</f>
        <v>0</v>
      </c>
      <c r="CG13" t="s">
        <v>1325</v>
      </c>
      <c r="CK13">
        <v>2</v>
      </c>
      <c r="CN13">
        <v>2023</v>
      </c>
      <c r="CO13" cm="1">
        <f t="array" ref="CO13">SUMPRODUCT((Y$2:Y$1000="PS")*(F$2:F$1000=$CN13)*(AH$2:AH$1000=0))</f>
        <v>3</v>
      </c>
      <c r="CP13" cm="1">
        <f t="array" ref="CP13">SUMPRODUCT((Y$2:Y$1000="PS")*(F$2:F$1000=$CN13)*(AH$2:AH$1000=0.5))</f>
        <v>2</v>
      </c>
      <c r="CQ13" cm="1">
        <f t="array" ref="CQ13">SUMPRODUCT((Y$2:Y$1000="PS")*(F$2:F$1000=$CN13)*(AH$2:AH$1000=1))</f>
        <v>4</v>
      </c>
      <c r="CZ13" s="34"/>
      <c r="DH13" s="34"/>
      <c r="DI13" s="34"/>
      <c r="FQ13" t="s">
        <v>1279</v>
      </c>
      <c r="FR13" s="35" cm="1">
        <f t="array" ref="FR13">SUMPRODUCT((Y$2:Y$1000="PS")*ISNUMBER(SEARCH(LOWER(FQ13),LOWER(AA$2:AA$1000)))*ISNUMBER(SEARCH("prioritization",LOWER(Z$2:Z$1000))))</f>
        <v>0</v>
      </c>
      <c r="FV13">
        <v>2023</v>
      </c>
      <c r="FW13" s="35" cm="1">
        <f t="array" ref="FW13">SUMPRODUCT((Y$2:Y$1000="PS")*(F$2:F$1000=FV13)*ISNUMBER(SEARCH("prioritization",LOWER(Z$2:Z$1000)))*ISNUMBER(SEARCH("coverage",LOWER(AA$2:AA$1000))))</f>
        <v>2</v>
      </c>
      <c r="FX13" s="35" cm="1">
        <f t="array" ref="FX13">SUMPRODUCT((Y$2:Y$1000="PS")*(F$2:F$1000=FV13)*ISNUMBER(SEARCH("prioritization",LOWER(Z$2:Z$1000)))*ISNUMBER(SEARCH("requirement",LOWER(AA$2:AA$1000))))</f>
        <v>0</v>
      </c>
      <c r="FY13" s="35" cm="1">
        <f t="array" ref="FY13">SUMPRODUCT((Y$2:Y$1000="PS")*(F$2:F$1000=FV13)*ISNUMBER(SEARCH("prioritization",LOWER(Z$2:Z$1000)))*ISNUMBER(SEARCH("probab",LOWER(AA$2:AA$1000))))</f>
        <v>1</v>
      </c>
      <c r="FZ13" s="35" cm="1">
        <f t="array" ref="FZ13">SUMPRODUCT((Y$2:Y$1000="PS")*(F$2:F$1000=FV13)*ISNUMBER(SEARCH("prioritization",LOWER(Z$2:Z$1000)))*ISNUMBER(SEARCH("distribution",LOWER(AA$2:AA$1000))))</f>
        <v>0</v>
      </c>
      <c r="GA13" s="35" cm="1">
        <f t="array" ref="GA13">SUMPRODUCT((Y$2:Y$1000="PS")*(F$2:F$1000=FV13)*ISNUMBER(SEARCH("prioritization",LOWER(Z$2:Z$1000)))*ISNUMBER(SEARCH("clustering",LOWER(AA$2:AA$1000))))</f>
        <v>0</v>
      </c>
      <c r="GB13" s="35" cm="1">
        <f t="array" ref="GB13">SUMPRODUCT((Y$2:Y$1000="PS")*(F$2:F$1000=FV13)*ISNUMBER(SEARCH("prioritization",LOWER(Z$2:Z$1000)))*ISNUMBER(SEARCH("history",LOWER(AA$2:AA$1000))))</f>
        <v>2</v>
      </c>
      <c r="GC13" s="35" cm="1">
        <f t="array" ref="GC13">SUMPRODUCT((Y$2:Y$1000="PS")*(F$2:F$1000=FV13)*ISNUMBER(SEARCH("prioritization",LOWER(Z$2:Z$1000)))*ISNUMBER(SEARCH("model",LOWER(AA$2:AA$1000))))</f>
        <v>1</v>
      </c>
      <c r="GD13" s="35" cm="1">
        <f t="array" ref="GD13">SUMPRODUCT((Y$2:Y$1000="PS")*(F$2:F$1000=FV13)*ISNUMBER(SEARCH("prioritization",LOWER(Z$2:Z$1000)))*ISNUMBER(SEARCH("cost-aware",LOWER(AA$2:AA$1000))))</f>
        <v>2</v>
      </c>
      <c r="GE13" s="35" cm="1">
        <f t="array" ref="GE13">SUMPRODUCT((Y$2:Y$1000="PS")*(F$2:F$1000=FV13)*ISNUMBER(SEARCH("prioritization",LOWER(Z$2:Z$1000)))*ISNUMBER(SEARCH("similarity",LOWER(AA$2:AA$1000))))</f>
        <v>0</v>
      </c>
      <c r="GF13" s="35" cm="1">
        <f t="array" ref="GF13">SUMPRODUCT((Y$2:Y$1000="PS")*(F$2:F$1000=FV13)*ISNUMBER(SEARCH("prioritization",LOWER(Z$2:Z$1000)))*ISNUMBER(SEARCH("input",LOWER(AA$2:AA$1000))))</f>
        <v>0</v>
      </c>
      <c r="GG13" s="35" cm="1">
        <f t="array" ref="GG13">SUMPRODUCT((Y$2:Y$1000="PS")*(F$2:F$1000=FV13)*ISNUMBER(SEARCH("prioritization",LOWER(Z$2:Z$1000)))*ISNUMBER(SEARCH("structure",LOWER(AA$2:AA$1000))))</f>
        <v>0</v>
      </c>
      <c r="GH13" s="35" cm="1">
        <f t="array" ref="GH13">SUMPRODUCT((Y$2:Y$1000="PS")*(F$2:F$1000=FV13)*ISNUMBER(SEARCH("prioritization",LOWER(Z$2:Z$1000)))*ISNUMBER(SEARCH("change",LOWER(AA$2:AA$1000))))</f>
        <v>0</v>
      </c>
      <c r="GI13" s="35" cm="1">
        <f t="array" ref="GI13">SUMPRODUCT((Y$2:Y$1000="PS")*(F$2:F$1000=FV13)*ISNUMBER(SEARCH("prioritization",LOWER(Z$2:Z$1000)))*ISNUMBER(SEARCH("ml",LOWER(AA$2:AA$1000))))</f>
        <v>0</v>
      </c>
      <c r="GJ13" s="35" cm="1">
        <f t="array" ref="GJ13">SUMPRODUCT((Y$2:Y$1000="PS")*(F$2:F$1000=FV13)*ISNUMBER(SEARCH("prioritization",LOWER(Z$2:Z$1000)))*ISNUMBER(SEARCH("heuristic",LOWER(AA$2:AA$1000))))</f>
        <v>0</v>
      </c>
      <c r="GK13" s="35" cm="1">
        <f t="array" ref="GK13">SUMPRODUCT((Y$2:Y$1000="PS")*(F$2:F$1000=FV13)*ISNUMBER(SEARCH("prioritization",LOWER(Z$2:Z$1000)))*ISNUMBER(SEARCH("search",LOWER(AA$2:AA$1000))))</f>
        <v>1</v>
      </c>
      <c r="GL13" s="35" cm="1">
        <f t="array" ref="GL13">SUMPRODUCT((Y$2:Y$1000="PS")*(F$2:F$1000=FV13)*ISNUMBER(SEARCH("prioritization",LOWER(Z$2:Z$1000)))*ISNUMBER(SEARCH("transfer",LOWER(AA$2:AA$1000))))</f>
        <v>0</v>
      </c>
      <c r="GM13" s="35" cm="1">
        <f t="array" ref="GM13">SUMPRODUCT((Y$2:Y$1000="PS")*(F$2:F$1000=FV13)*ISNUMBER(SEARCH("prioritization",LOWER(Z$2:Z$1000)))*ISNUMBER(SEARCH("riski",LOWER(AA$2:AA$1000))))</f>
        <v>0</v>
      </c>
      <c r="GN13" s="35" cm="1">
        <f t="array" ref="GN13">SUMPRODUCT((Y$2:Y$1000="PS")*(F$2:F$1000=FV13)*ISNUMBER(SEARCH("prioritization",LOWER(Z$2:Z$1000)))*ISNUMBER(SEARCH("nlp",LOWER(AA$2:AA$1000))))</f>
        <v>0</v>
      </c>
      <c r="GO13" s="35" cm="1">
        <f t="array" ref="GO13">SUMPRODUCT((Y$2:Y$1000="PS")*(F$2:F$1000=FV13)*ISNUMBER(SEARCH("prioritization",LOWER(Z$2:Z$1000)))*ISNUMBER(SEARCH("design",LOWER(AA$2:AA$1000))))</f>
        <v>0</v>
      </c>
      <c r="GP13" s="35" cm="1">
        <f t="array" ref="GP13">SUMPRODUCT((Y$2:Y$1000="PS")*(F$2:F$1000=FV13)*ISNUMBER(SEARCH("prioritization",LOWER(Z$2:Z$1000)))*ISNUMBER(SEARCH("other",LOWER(AA$2:AA$1000))))</f>
        <v>0</v>
      </c>
      <c r="GQ13">
        <f t="shared" si="8"/>
        <v>0</v>
      </c>
      <c r="GZ13">
        <v>2023</v>
      </c>
      <c r="HA13" cm="1">
        <f t="array" ref="HA13">SUMPRODUCT((Y$2:Y$1000="PS")*(F$2:F$1000=GZ13)*ISNUMBER(SEARCH("prioritization",LOWER(Z$2:Z$1000)))*ISNUMBER(SEARCH(LOWER("metaheuristic"),LOWER(AB$2:AB$1000))))</f>
        <v>0</v>
      </c>
      <c r="HB13" cm="1">
        <f t="array" ref="HB13">SUMPRODUCT((Y$2:Y$1000="PS")*(F$2:F$1000=GZ13)*ISNUMBER(SEARCH("prioritization",LOWER(Z$2:Z$1000)))*ISNUMBER(SEARCH(LOWER("search"),LOWER(AB$2:AB$1000))))</f>
        <v>0</v>
      </c>
      <c r="HC13" cm="1">
        <f t="array" ref="HC13">SUMPRODUCT((Y$2:Y$1000="PS")*(F$2:F$1000=GZ13)*ISNUMBER(SEARCH("prioritization",LOWER(Z$2:Z$1000)))*ISNUMBER(SEARCH(LOWER("heuristic"),LOWER(AB$2:AB$1000))))</f>
        <v>5</v>
      </c>
      <c r="HD13" cm="1">
        <f t="array" ref="HD13">SUMPRODUCT((Y$2:Y$1000="PS")*(F$2:F$1000=GZ13)*ISNUMBER(SEARCH("prioritization",LOWER(Z$2:Z$1000)))*ISNUMBER(SEARCH(LOWER("ml"),LOWER(AB$2:AB$1000))))</f>
        <v>2</v>
      </c>
      <c r="HE13" cm="1">
        <f t="array" ref="HE13">SUMPRODUCT((Y$2:Y$1000="PS")*(F$2:F$1000=GZ13)*ISNUMBER(SEARCH("prioritization",LOWER(Z$2:Z$1000)))*ISNUMBER(SEARCH(LOWER("rule"),LOWER(AB$2:AB$1000))))</f>
        <v>0</v>
      </c>
      <c r="HF13" cm="1">
        <f t="array" ref="HF13">SUMPRODUCT((Y$2:Y$1000="PS")*(F$2:F$1000=GZ13)*ISNUMBER(SEARCH("prioritization",LOWER(Z$2:Z$1000)))*ISNUMBER(SEARCH(LOWER(HF$2),LOWER(AB$2:AB$1000))))</f>
        <v>0</v>
      </c>
      <c r="HG13" cm="1">
        <f t="array" ref="HG13">SUMPRODUCT((Y$2:Y$1000="PS")*(F$2:F$1000=GZ13)*ISNUMBER(SEARCH("prioritization",LOWER(Z$2:Z$1000)))*ISNUMBER(SEARCH(LOWER("model"),LOWER(AB$2:AB$1000))))</f>
        <v>0</v>
      </c>
      <c r="HH13" cm="1">
        <f t="array" ref="HH13">SUMPRODUCT((Y$2:Y$1000="PS")*(F$2:F$1000=GZ13)*ISNUMBER(SEARCH("prioritization",LOWER(Z$2:Z$1000)))*ISNUMBER(SEARCH(LOWER(HH$2),LOWER(AB$2:AB$1000))))</f>
        <v>0</v>
      </c>
      <c r="HI13" cm="1">
        <f t="array" ref="HI13">SUMPRODUCT((Y$2:Y$1000="PS")*(F$2:F$1000=GZ13)*ISNUMBER(SEARCH("prioritization",LOWER(Z$2:Z$1000)))*ISNUMBER(SEARCH(LOWER("quantum"),LOWER(AB$2:AB$1000))))</f>
        <v>0</v>
      </c>
      <c r="HJ13" cm="1">
        <f t="array" ref="HJ13">SUMPRODUCT((Y$2:Y$1000="PS")*(F$2:F$1000=GZ13)*ISNUMBER(SEARCH("prioritization",LOWER(Z$2:Z$1000)))*ISNUMBER(SEARCH(LOWER("genetic"),LOWER(AB$2:AB$1000))))</f>
        <v>0</v>
      </c>
      <c r="HK13" cm="1">
        <f t="array" ref="HK13">SUMPRODUCT((Y$2:Y$1000="PS")*(F$2:F$1000=GZ13)*ISNUMBER(SEARCH("prioritization",LOWER(Z$2:Z$1000)))*ISNUMBER(SEARCH(LOWER("graph"),LOWER(AB$2:AB$1000))))</f>
        <v>0</v>
      </c>
      <c r="HL13" cm="1">
        <f t="array" ref="HL13">SUMPRODUCT((Y$2:Y$1000="PS")*(F$2:F$1000=GZ13)*ISNUMBER(SEARCH("prioritization",LOWER(Z$2:Z$1000)))*ISNUMBER(SEARCH(LOWER("greedy"),LOWER(AB$2:AB$1000))))</f>
        <v>0</v>
      </c>
      <c r="HM13" cm="1">
        <f t="array" ref="HM13">SUMPRODUCT((Y$2:Y$1000="PS")*(F$2:F$1000=GZ13)*ISNUMBER(SEARCH("prioritization",LOWER(Z$2:Z$1000)))*ISNUMBER(SEARCH(LOWER("dynamic"),LOWER(AB$2:AB$1000))))</f>
        <v>0</v>
      </c>
    </row>
    <row r="14" spans="1:221" ht="409.6">
      <c r="A14" s="2">
        <v>7273420</v>
      </c>
      <c r="B14" s="2" t="s">
        <v>34</v>
      </c>
      <c r="C14" s="2" t="s">
        <v>198</v>
      </c>
      <c r="D14" s="2" t="s">
        <v>148</v>
      </c>
      <c r="E14" s="2" t="s">
        <v>199</v>
      </c>
      <c r="F14" s="2">
        <v>2015</v>
      </c>
      <c r="G14" s="2">
        <v>3</v>
      </c>
      <c r="H14" s="2"/>
      <c r="I14" s="2" t="s">
        <v>200</v>
      </c>
      <c r="J14" s="2" t="s">
        <v>201</v>
      </c>
      <c r="K14" s="2" t="s">
        <v>202</v>
      </c>
      <c r="L14" s="2" t="s">
        <v>203</v>
      </c>
      <c r="M14" s="2" t="s">
        <v>55</v>
      </c>
      <c r="N14" s="2" t="s">
        <v>56</v>
      </c>
      <c r="O14" s="2"/>
      <c r="P14" s="2"/>
      <c r="Q14" s="2"/>
      <c r="R14" s="2"/>
      <c r="S14" s="2"/>
      <c r="T14" s="2"/>
      <c r="U14" s="2"/>
      <c r="V14" s="2"/>
      <c r="W14" s="2"/>
      <c r="X14" s="2" t="s">
        <v>204</v>
      </c>
      <c r="Y14" s="2" t="s">
        <v>58</v>
      </c>
      <c r="Z14" s="2" t="s">
        <v>205</v>
      </c>
      <c r="AA14" s="2" t="s">
        <v>206</v>
      </c>
      <c r="AB14" s="2" t="s">
        <v>207</v>
      </c>
      <c r="AC14" s="2" t="s">
        <v>208</v>
      </c>
      <c r="AD14" s="2" t="s">
        <v>209</v>
      </c>
      <c r="AE14" s="2" t="s">
        <v>210</v>
      </c>
      <c r="AF14" s="2" t="s">
        <v>65</v>
      </c>
      <c r="AG14" s="2" t="s">
        <v>94</v>
      </c>
      <c r="AH14" s="2">
        <v>0</v>
      </c>
      <c r="AK14">
        <f t="shared" si="6"/>
        <v>1</v>
      </c>
      <c r="AL14">
        <f t="shared" si="0"/>
        <v>0</v>
      </c>
      <c r="AM14">
        <f t="shared" si="1"/>
        <v>0</v>
      </c>
      <c r="AN14">
        <f t="shared" si="2"/>
        <v>1</v>
      </c>
      <c r="AP14">
        <v>2024</v>
      </c>
      <c r="AQ14">
        <f t="shared" si="7"/>
        <v>7</v>
      </c>
      <c r="AR14">
        <f t="shared" si="3"/>
        <v>1</v>
      </c>
      <c r="AS14">
        <f t="shared" si="4"/>
        <v>1</v>
      </c>
      <c r="AT14">
        <f t="shared" si="5"/>
        <v>5</v>
      </c>
      <c r="CN14">
        <v>2024</v>
      </c>
      <c r="CO14" cm="1">
        <f t="array" ref="CO14">SUMPRODUCT((Y$2:Y$1000="PS")*(F$2:F$1000=$CN14)*(AH$2:AH$1000=0))</f>
        <v>2</v>
      </c>
      <c r="CP14" cm="1">
        <f t="array" ref="CP14">SUMPRODUCT((Y$2:Y$1000="PS")*(F$2:F$1000=$CN14)*(AH$2:AH$1000=0.5))</f>
        <v>2</v>
      </c>
      <c r="CQ14" cm="1">
        <f t="array" ref="CQ14">SUMPRODUCT((Y$2:Y$1000="PS")*(F$2:F$1000=$CN14)*(AH$2:AH$1000=1))</f>
        <v>3</v>
      </c>
      <c r="CZ14" s="34"/>
      <c r="DH14" s="34"/>
      <c r="DI14" s="34"/>
      <c r="FQ14" t="s">
        <v>1280</v>
      </c>
      <c r="FR14" s="35" cm="1">
        <f t="array" ref="FR14">SUMPRODUCT((Y$2:Y$1000="PS")*ISNUMBER(SEARCH(LOWER(FQ14),LOWER(AA$2:AA$1000)))*ISNUMBER(SEARCH("prioritization",LOWER(Z$2:Z$1000))))</f>
        <v>0</v>
      </c>
      <c r="FV14">
        <v>2024</v>
      </c>
      <c r="FW14" s="35" cm="1">
        <f t="array" ref="FW14">SUMPRODUCT((Y$2:Y$1000="PS")*(F$2:F$1000=FV14)*ISNUMBER(SEARCH("prioritization",LOWER(Z$2:Z$1000)))*ISNUMBER(SEARCH("coverage",LOWER(AA$2:AA$1000))))</f>
        <v>2</v>
      </c>
      <c r="FX14" s="35" cm="1">
        <f t="array" ref="FX14">SUMPRODUCT((Y$2:Y$1000="PS")*(F$2:F$1000=FV14)*ISNUMBER(SEARCH("prioritization",LOWER(Z$2:Z$1000)))*ISNUMBER(SEARCH("requirement",LOWER(AA$2:AA$1000))))</f>
        <v>0</v>
      </c>
      <c r="FY14" s="35" cm="1">
        <f t="array" ref="FY14">SUMPRODUCT((Y$2:Y$1000="PS")*(F$2:F$1000=FV14)*ISNUMBER(SEARCH("prioritization",LOWER(Z$2:Z$1000)))*ISNUMBER(SEARCH("probab",LOWER(AA$2:AA$1000))))</f>
        <v>0</v>
      </c>
      <c r="FZ14" s="35" cm="1">
        <f t="array" ref="FZ14">SUMPRODUCT((Y$2:Y$1000="PS")*(F$2:F$1000=FV14)*ISNUMBER(SEARCH("prioritization",LOWER(Z$2:Z$1000)))*ISNUMBER(SEARCH("distribution",LOWER(AA$2:AA$1000))))</f>
        <v>0</v>
      </c>
      <c r="GA14" s="35" cm="1">
        <f t="array" ref="GA14">SUMPRODUCT((Y$2:Y$1000="PS")*(F$2:F$1000=FV14)*ISNUMBER(SEARCH("prioritization",LOWER(Z$2:Z$1000)))*ISNUMBER(SEARCH("clustering",LOWER(AA$2:AA$1000))))</f>
        <v>1</v>
      </c>
      <c r="GB14" s="35" cm="1">
        <f t="array" ref="GB14">SUMPRODUCT((Y$2:Y$1000="PS")*(F$2:F$1000=FV14)*ISNUMBER(SEARCH("prioritization",LOWER(Z$2:Z$1000)))*ISNUMBER(SEARCH("history",LOWER(AA$2:AA$1000))))</f>
        <v>2</v>
      </c>
      <c r="GC14" s="35" cm="1">
        <f t="array" ref="GC14">SUMPRODUCT((Y$2:Y$1000="PS")*(F$2:F$1000=FV14)*ISNUMBER(SEARCH("prioritization",LOWER(Z$2:Z$1000)))*ISNUMBER(SEARCH("model",LOWER(AA$2:AA$1000))))</f>
        <v>0</v>
      </c>
      <c r="GD14" s="35" cm="1">
        <f t="array" ref="GD14">SUMPRODUCT((Y$2:Y$1000="PS")*(F$2:F$1000=FV14)*ISNUMBER(SEARCH("prioritization",LOWER(Z$2:Z$1000)))*ISNUMBER(SEARCH("cost-aware",LOWER(AA$2:AA$1000))))</f>
        <v>0</v>
      </c>
      <c r="GE14" s="35" cm="1">
        <f t="array" ref="GE14">SUMPRODUCT((Y$2:Y$1000="PS")*(F$2:F$1000=FV14)*ISNUMBER(SEARCH("prioritization",LOWER(Z$2:Z$1000)))*ISNUMBER(SEARCH("similarity",LOWER(AA$2:AA$1000))))</f>
        <v>0</v>
      </c>
      <c r="GF14" s="35" cm="1">
        <f t="array" ref="GF14">SUMPRODUCT((Y$2:Y$1000="PS")*(F$2:F$1000=FV14)*ISNUMBER(SEARCH("prioritization",LOWER(Z$2:Z$1000)))*ISNUMBER(SEARCH("input",LOWER(AA$2:AA$1000))))</f>
        <v>0</v>
      </c>
      <c r="GG14" s="35" cm="1">
        <f t="array" ref="GG14">SUMPRODUCT((Y$2:Y$1000="PS")*(F$2:F$1000=FV14)*ISNUMBER(SEARCH("prioritization",LOWER(Z$2:Z$1000)))*ISNUMBER(SEARCH("structure",LOWER(AA$2:AA$1000))))</f>
        <v>0</v>
      </c>
      <c r="GH14" s="35" cm="1">
        <f t="array" ref="GH14">SUMPRODUCT((Y$2:Y$1000="PS")*(F$2:F$1000=FV14)*ISNUMBER(SEARCH("prioritization",LOWER(Z$2:Z$1000)))*ISNUMBER(SEARCH("change",LOWER(AA$2:AA$1000))))</f>
        <v>0</v>
      </c>
      <c r="GI14" s="35" cm="1">
        <f t="array" ref="GI14">SUMPRODUCT((Y$2:Y$1000="PS")*(F$2:F$1000=FV14)*ISNUMBER(SEARCH("prioritization",LOWER(Z$2:Z$1000)))*ISNUMBER(SEARCH("ml",LOWER(AA$2:AA$1000))))</f>
        <v>0</v>
      </c>
      <c r="GJ14" s="35" cm="1">
        <f t="array" ref="GJ14">SUMPRODUCT((Y$2:Y$1000="PS")*(F$2:F$1000=FV14)*ISNUMBER(SEARCH("prioritization",LOWER(Z$2:Z$1000)))*ISNUMBER(SEARCH("heuristic",LOWER(AA$2:AA$1000))))</f>
        <v>0</v>
      </c>
      <c r="GK14" s="35" cm="1">
        <f t="array" ref="GK14">SUMPRODUCT((Y$2:Y$1000="PS")*(F$2:F$1000=FV14)*ISNUMBER(SEARCH("prioritization",LOWER(Z$2:Z$1000)))*ISNUMBER(SEARCH("search",LOWER(AA$2:AA$1000))))</f>
        <v>0</v>
      </c>
      <c r="GL14" s="35" cm="1">
        <f t="array" ref="GL14">SUMPRODUCT((Y$2:Y$1000="PS")*(F$2:F$1000=FV14)*ISNUMBER(SEARCH("prioritization",LOWER(Z$2:Z$1000)))*ISNUMBER(SEARCH("transfer",LOWER(AA$2:AA$1000))))</f>
        <v>0</v>
      </c>
      <c r="GM14" s="35" cm="1">
        <f t="array" ref="GM14">SUMPRODUCT((Y$2:Y$1000="PS")*(F$2:F$1000=FV14)*ISNUMBER(SEARCH("prioritization",LOWER(Z$2:Z$1000)))*ISNUMBER(SEARCH("riski",LOWER(AA$2:AA$1000))))</f>
        <v>0</v>
      </c>
      <c r="GN14" s="35" cm="1">
        <f t="array" ref="GN14">SUMPRODUCT((Y$2:Y$1000="PS")*(F$2:F$1000=FV14)*ISNUMBER(SEARCH("prioritization",LOWER(Z$2:Z$1000)))*ISNUMBER(SEARCH("nlp",LOWER(AA$2:AA$1000))))</f>
        <v>0</v>
      </c>
      <c r="GO14" s="35" cm="1">
        <f t="array" ref="GO14">SUMPRODUCT((Y$2:Y$1000="PS")*(F$2:F$1000=FV14)*ISNUMBER(SEARCH("prioritization",LOWER(Z$2:Z$1000)))*ISNUMBER(SEARCH("design",LOWER(AA$2:AA$1000))))</f>
        <v>0</v>
      </c>
      <c r="GP14" s="35" cm="1">
        <f t="array" ref="GP14">SUMPRODUCT((Y$2:Y$1000="PS")*(F$2:F$1000=FV14)*ISNUMBER(SEARCH("prioritization",LOWER(Z$2:Z$1000)))*ISNUMBER(SEARCH("other",LOWER(AA$2:AA$1000))))</f>
        <v>0</v>
      </c>
      <c r="GQ14">
        <f t="shared" si="8"/>
        <v>0</v>
      </c>
      <c r="GZ14">
        <v>2024</v>
      </c>
      <c r="HA14" cm="1">
        <f t="array" ref="HA14">SUMPRODUCT((Y$2:Y$1000="PS")*(F$2:F$1000=GZ14)*ISNUMBER(SEARCH("prioritization",LOWER(Z$2:Z$1000)))*ISNUMBER(SEARCH(LOWER("metaheuristic"),LOWER(AB$2:AB$1000))))</f>
        <v>0</v>
      </c>
      <c r="HB14" cm="1">
        <f t="array" ref="HB14">SUMPRODUCT((Y$2:Y$1000="PS")*(F$2:F$1000=GZ14)*ISNUMBER(SEARCH("prioritization",LOWER(Z$2:Z$1000)))*ISNUMBER(SEARCH(LOWER("search"),LOWER(AB$2:AB$1000))))</f>
        <v>0</v>
      </c>
      <c r="HC14" cm="1">
        <f t="array" ref="HC14">SUMPRODUCT((Y$2:Y$1000="PS")*(F$2:F$1000=GZ14)*ISNUMBER(SEARCH("prioritization",LOWER(Z$2:Z$1000)))*ISNUMBER(SEARCH(LOWER("heuristic"),LOWER(AB$2:AB$1000))))</f>
        <v>4</v>
      </c>
      <c r="HD14" cm="1">
        <f t="array" ref="HD14">SUMPRODUCT((Y$2:Y$1000="PS")*(F$2:F$1000=GZ14)*ISNUMBER(SEARCH("prioritization",LOWER(Z$2:Z$1000)))*ISNUMBER(SEARCH(LOWER("ml"),LOWER(AB$2:AB$1000))))</f>
        <v>2</v>
      </c>
      <c r="HE14" cm="1">
        <f t="array" ref="HE14">SUMPRODUCT((Y$2:Y$1000="PS")*(F$2:F$1000=GZ14)*ISNUMBER(SEARCH("prioritization",LOWER(Z$2:Z$1000)))*ISNUMBER(SEARCH(LOWER("rule"),LOWER(AB$2:AB$1000))))</f>
        <v>0</v>
      </c>
      <c r="HF14" cm="1">
        <f t="array" ref="HF14">SUMPRODUCT((Y$2:Y$1000="PS")*(F$2:F$1000=GZ14)*ISNUMBER(SEARCH("prioritization",LOWER(Z$2:Z$1000)))*ISNUMBER(SEARCH(LOWER(HF$2),LOWER(AB$2:AB$1000))))</f>
        <v>0</v>
      </c>
      <c r="HG14" cm="1">
        <f t="array" ref="HG14">SUMPRODUCT((Y$2:Y$1000="PS")*(F$2:F$1000=GZ14)*ISNUMBER(SEARCH("prioritization",LOWER(Z$2:Z$1000)))*ISNUMBER(SEARCH(LOWER("model"),LOWER(AB$2:AB$1000))))</f>
        <v>0</v>
      </c>
      <c r="HH14" cm="1">
        <f t="array" ref="HH14">SUMPRODUCT((Y$2:Y$1000="PS")*(F$2:F$1000=GZ14)*ISNUMBER(SEARCH("prioritization",LOWER(Z$2:Z$1000)))*ISNUMBER(SEARCH(LOWER(HH$2),LOWER(AB$2:AB$1000))))</f>
        <v>0</v>
      </c>
      <c r="HI14" cm="1">
        <f t="array" ref="HI14">SUMPRODUCT((Y$2:Y$1000="PS")*(F$2:F$1000=GZ14)*ISNUMBER(SEARCH("prioritization",LOWER(Z$2:Z$1000)))*ISNUMBER(SEARCH(LOWER("quantum"),LOWER(AB$2:AB$1000))))</f>
        <v>0</v>
      </c>
      <c r="HJ14" cm="1">
        <f t="array" ref="HJ14">SUMPRODUCT((Y$2:Y$1000="PS")*(F$2:F$1000=GZ14)*ISNUMBER(SEARCH("prioritization",LOWER(Z$2:Z$1000)))*ISNUMBER(SEARCH(LOWER("genetic"),LOWER(AB$2:AB$1000))))</f>
        <v>0</v>
      </c>
      <c r="HK14" cm="1">
        <f t="array" ref="HK14">SUMPRODUCT((Y$2:Y$1000="PS")*(F$2:F$1000=GZ14)*ISNUMBER(SEARCH("prioritization",LOWER(Z$2:Z$1000)))*ISNUMBER(SEARCH(LOWER("graph"),LOWER(AB$2:AB$1000))))</f>
        <v>0</v>
      </c>
      <c r="HL14" cm="1">
        <f t="array" ref="HL14">SUMPRODUCT((Y$2:Y$1000="PS")*(F$2:F$1000=GZ14)*ISNUMBER(SEARCH("prioritization",LOWER(Z$2:Z$1000)))*ISNUMBER(SEARCH(LOWER("greedy"),LOWER(AB$2:AB$1000))))</f>
        <v>0</v>
      </c>
      <c r="HM14" cm="1">
        <f t="array" ref="HM14">SUMPRODUCT((Y$2:Y$1000="PS")*(F$2:F$1000=GZ14)*ISNUMBER(SEARCH("prioritization",LOWER(Z$2:Z$1000)))*ISNUMBER(SEARCH(LOWER("dynamic"),LOWER(AB$2:AB$1000))))</f>
        <v>0</v>
      </c>
    </row>
    <row r="15" spans="1:221" ht="409.6">
      <c r="A15" s="2">
        <v>9787970</v>
      </c>
      <c r="B15" s="2" t="s">
        <v>34</v>
      </c>
      <c r="C15" s="2" t="s">
        <v>211</v>
      </c>
      <c r="D15" s="2" t="s">
        <v>212</v>
      </c>
      <c r="E15" s="2" t="s">
        <v>213</v>
      </c>
      <c r="F15" s="2">
        <v>2022</v>
      </c>
      <c r="G15" s="2"/>
      <c r="H15" s="2"/>
      <c r="I15" s="2" t="s">
        <v>214</v>
      </c>
      <c r="J15" s="2" t="s">
        <v>215</v>
      </c>
      <c r="K15" s="2" t="s">
        <v>216</v>
      </c>
      <c r="L15" s="2" t="s">
        <v>217</v>
      </c>
      <c r="M15" s="2" t="s">
        <v>218</v>
      </c>
      <c r="N15" s="2" t="s">
        <v>139</v>
      </c>
      <c r="O15" s="2"/>
      <c r="P15" s="2"/>
      <c r="Q15" s="2"/>
      <c r="R15" s="2"/>
      <c r="S15" s="2"/>
      <c r="T15" s="2"/>
      <c r="U15" s="2"/>
      <c r="V15" s="2"/>
      <c r="W15" s="2"/>
      <c r="X15" s="2" t="s">
        <v>219</v>
      </c>
      <c r="Y15" s="2" t="s">
        <v>58</v>
      </c>
      <c r="Z15" s="2" t="s">
        <v>220</v>
      </c>
      <c r="AA15" s="2" t="s">
        <v>142</v>
      </c>
      <c r="AB15" s="2" t="s">
        <v>207</v>
      </c>
      <c r="AC15" s="2" t="s">
        <v>208</v>
      </c>
      <c r="AD15" s="2" t="s">
        <v>221</v>
      </c>
      <c r="AE15" s="2" t="s">
        <v>222</v>
      </c>
      <c r="AF15" s="2"/>
      <c r="AG15" s="2" t="s">
        <v>223</v>
      </c>
      <c r="AH15" s="2">
        <v>0.5</v>
      </c>
      <c r="AK15">
        <f t="shared" si="6"/>
        <v>1</v>
      </c>
      <c r="AL15">
        <f t="shared" si="0"/>
        <v>0</v>
      </c>
      <c r="AM15">
        <f t="shared" si="1"/>
        <v>0</v>
      </c>
      <c r="AN15">
        <f t="shared" si="2"/>
        <v>1</v>
      </c>
      <c r="AP15">
        <v>2025</v>
      </c>
      <c r="AQ15">
        <f t="shared" si="7"/>
        <v>1</v>
      </c>
      <c r="AR15">
        <f t="shared" si="3"/>
        <v>0</v>
      </c>
      <c r="AS15">
        <f t="shared" si="4"/>
        <v>1</v>
      </c>
      <c r="AT15">
        <f t="shared" si="5"/>
        <v>0</v>
      </c>
      <c r="CN15">
        <v>2025</v>
      </c>
      <c r="CO15" cm="1">
        <f t="array" ref="CO15">SUMPRODUCT((Y$2:Y$1000="PS")*(F$2:F$1000=$CN15)*(AH$2:AH$1000=0))</f>
        <v>0</v>
      </c>
      <c r="CP15" cm="1">
        <f t="array" ref="CP15">SUMPRODUCT((Y$2:Y$1000="PS")*(F$2:F$1000=$CN15)*(AH$2:AH$1000=0.5))</f>
        <v>1</v>
      </c>
      <c r="CQ15" cm="1">
        <f t="array" ref="CQ15">SUMPRODUCT((Y$2:Y$1000="PS")*(F$2:F$1000=$CN15)*(AH$2:AH$1000=1))</f>
        <v>0</v>
      </c>
      <c r="CZ15" s="34"/>
      <c r="DH15" s="34"/>
      <c r="DI15" s="34"/>
      <c r="FQ15" t="s">
        <v>1281</v>
      </c>
      <c r="FR15" s="35" cm="1">
        <f t="array" ref="FR15">SUMPRODUCT((Y$2:Y$1000="PS")*ISNUMBER(SEARCH(LOWER(FQ15),LOWER(AA$2:AA$1000)))*ISNUMBER(SEARCH("prioritization",LOWER(Z$2:Z$1000))))</f>
        <v>0</v>
      </c>
      <c r="FV15">
        <v>2025</v>
      </c>
      <c r="FW15" s="35" cm="1">
        <f t="array" ref="FW15">SUMPRODUCT((Y$2:Y$1000="PS")*(F$2:F$1000=FV15)*ISNUMBER(SEARCH("prioritization",LOWER(Z$2:Z$1000)))*ISNUMBER(SEARCH("coverage",LOWER(AA$2:AA$1000))))</f>
        <v>0</v>
      </c>
      <c r="FX15" s="35" cm="1">
        <f t="array" ref="FX15">SUMPRODUCT((Y$2:Y$1000="PS")*(F$2:F$1000=FV15)*ISNUMBER(SEARCH("prioritization",LOWER(Z$2:Z$1000)))*ISNUMBER(SEARCH("requirement",LOWER(AA$2:AA$1000))))</f>
        <v>0</v>
      </c>
      <c r="FY15" s="35" cm="1">
        <f t="array" ref="FY15">SUMPRODUCT((Y$2:Y$1000="PS")*(F$2:F$1000=FV15)*ISNUMBER(SEARCH("prioritization",LOWER(Z$2:Z$1000)))*ISNUMBER(SEARCH("probab",LOWER(AA$2:AA$1000))))</f>
        <v>0</v>
      </c>
      <c r="FZ15" s="35" cm="1">
        <f t="array" ref="FZ15">SUMPRODUCT((Y$2:Y$1000="PS")*(F$2:F$1000=FV15)*ISNUMBER(SEARCH("prioritization",LOWER(Z$2:Z$1000)))*ISNUMBER(SEARCH("distribution",LOWER(AA$2:AA$1000))))</f>
        <v>0</v>
      </c>
      <c r="GA15" s="35" cm="1">
        <f t="array" ref="GA15">SUMPRODUCT((Y$2:Y$1000="PS")*(F$2:F$1000=FV15)*ISNUMBER(SEARCH("prioritization",LOWER(Z$2:Z$1000)))*ISNUMBER(SEARCH("clustering",LOWER(AA$2:AA$1000))))</f>
        <v>0</v>
      </c>
      <c r="GB15" s="35" cm="1">
        <f t="array" ref="GB15">SUMPRODUCT((Y$2:Y$1000="PS")*(F$2:F$1000=FV15)*ISNUMBER(SEARCH("prioritization",LOWER(Z$2:Z$1000)))*ISNUMBER(SEARCH("history",LOWER(AA$2:AA$1000))))</f>
        <v>0</v>
      </c>
      <c r="GC15" s="35" cm="1">
        <f t="array" ref="GC15">SUMPRODUCT((Y$2:Y$1000="PS")*(F$2:F$1000=FV15)*ISNUMBER(SEARCH("prioritization",LOWER(Z$2:Z$1000)))*ISNUMBER(SEARCH("model",LOWER(AA$2:AA$1000))))</f>
        <v>0</v>
      </c>
      <c r="GD15" s="35" cm="1">
        <f t="array" ref="GD15">SUMPRODUCT((Y$2:Y$1000="PS")*(F$2:F$1000=FV15)*ISNUMBER(SEARCH("prioritization",LOWER(Z$2:Z$1000)))*ISNUMBER(SEARCH("cost-aware",LOWER(AA$2:AA$1000))))</f>
        <v>0</v>
      </c>
      <c r="GE15" s="35" cm="1">
        <f t="array" ref="GE15">SUMPRODUCT((Y$2:Y$1000="PS")*(F$2:F$1000=FV15)*ISNUMBER(SEARCH("prioritization",LOWER(Z$2:Z$1000)))*ISNUMBER(SEARCH("similarity",LOWER(AA$2:AA$1000))))</f>
        <v>0</v>
      </c>
      <c r="GF15" s="35" cm="1">
        <f t="array" ref="GF15">SUMPRODUCT((Y$2:Y$1000="PS")*(F$2:F$1000=FV15)*ISNUMBER(SEARCH("prioritization",LOWER(Z$2:Z$1000)))*ISNUMBER(SEARCH("input",LOWER(AA$2:AA$1000))))</f>
        <v>0</v>
      </c>
      <c r="GG15" s="35" cm="1">
        <f t="array" ref="GG15">SUMPRODUCT((Y$2:Y$1000="PS")*(F$2:F$1000=FV15)*ISNUMBER(SEARCH("prioritization",LOWER(Z$2:Z$1000)))*ISNUMBER(SEARCH("structure",LOWER(AA$2:AA$1000))))</f>
        <v>0</v>
      </c>
      <c r="GH15" s="35" cm="1">
        <f t="array" ref="GH15">SUMPRODUCT((Y$2:Y$1000="PS")*(F$2:F$1000=FV15)*ISNUMBER(SEARCH("prioritization",LOWER(Z$2:Z$1000)))*ISNUMBER(SEARCH("change",LOWER(AA$2:AA$1000))))</f>
        <v>0</v>
      </c>
      <c r="GI15" s="35" cm="1">
        <f t="array" ref="GI15">SUMPRODUCT((Y$2:Y$1000="PS")*(F$2:F$1000=FV15)*ISNUMBER(SEARCH("prioritization",LOWER(Z$2:Z$1000)))*ISNUMBER(SEARCH("ml",LOWER(AA$2:AA$1000))))</f>
        <v>0</v>
      </c>
      <c r="GJ15" s="35" cm="1">
        <f t="array" ref="GJ15">SUMPRODUCT((Y$2:Y$1000="PS")*(F$2:F$1000=FV15)*ISNUMBER(SEARCH("prioritization",LOWER(Z$2:Z$1000)))*ISNUMBER(SEARCH("heuristic",LOWER(AA$2:AA$1000))))</f>
        <v>0</v>
      </c>
      <c r="GK15" s="35" cm="1">
        <f t="array" ref="GK15">SUMPRODUCT((Y$2:Y$1000="PS")*(F$2:F$1000=FV15)*ISNUMBER(SEARCH("prioritization",LOWER(Z$2:Z$1000)))*ISNUMBER(SEARCH("search",LOWER(AA$2:AA$1000))))</f>
        <v>0</v>
      </c>
      <c r="GL15" s="35" cm="1">
        <f t="array" ref="GL15">SUMPRODUCT((Y$2:Y$1000="PS")*(F$2:F$1000=FV15)*ISNUMBER(SEARCH("prioritization",LOWER(Z$2:Z$1000)))*ISNUMBER(SEARCH("transfer",LOWER(AA$2:AA$1000))))</f>
        <v>0</v>
      </c>
      <c r="GM15" s="35" cm="1">
        <f t="array" ref="GM15">SUMPRODUCT((Y$2:Y$1000="PS")*(F$2:F$1000=FV15)*ISNUMBER(SEARCH("prioritization",LOWER(Z$2:Z$1000)))*ISNUMBER(SEARCH("riski",LOWER(AA$2:AA$1000))))</f>
        <v>0</v>
      </c>
      <c r="GN15" s="35" cm="1">
        <f t="array" ref="GN15">SUMPRODUCT((Y$2:Y$1000="PS")*(F$2:F$1000=FV15)*ISNUMBER(SEARCH("prioritization",LOWER(Z$2:Z$1000)))*ISNUMBER(SEARCH("nlp",LOWER(AA$2:AA$1000))))</f>
        <v>0</v>
      </c>
      <c r="GO15" s="35" cm="1">
        <f t="array" ref="GO15">SUMPRODUCT((Y$2:Y$1000="PS")*(F$2:F$1000=FV15)*ISNUMBER(SEARCH("prioritization",LOWER(Z$2:Z$1000)))*ISNUMBER(SEARCH("design",LOWER(AA$2:AA$1000))))</f>
        <v>0</v>
      </c>
      <c r="GP15" s="35" cm="1">
        <f t="array" ref="GP15">SUMPRODUCT((Y$2:Y$1000="PS")*(F$2:F$1000=FV15)*ISNUMBER(SEARCH("prioritization",LOWER(Z$2:Z$1000)))*ISNUMBER(SEARCH("other",LOWER(AA$2:AA$1000))))</f>
        <v>0</v>
      </c>
      <c r="GQ15">
        <f t="shared" si="8"/>
        <v>0</v>
      </c>
      <c r="GZ15">
        <v>2025</v>
      </c>
      <c r="HA15" cm="1">
        <f t="array" ref="HA15">SUMPRODUCT((Y$2:Y$1000="PS")*(F$2:F$1000=GZ15)*ISNUMBER(SEARCH("prioritization",LOWER(Z$2:Z$1000)))*ISNUMBER(SEARCH(LOWER("metaheuristic"),LOWER(AB$2:AB$1000))))</f>
        <v>0</v>
      </c>
      <c r="HB15" cm="1">
        <f t="array" ref="HB15">SUMPRODUCT((Y$2:Y$1000="PS")*(F$2:F$1000=GZ15)*ISNUMBER(SEARCH("prioritization",LOWER(Z$2:Z$1000)))*ISNUMBER(SEARCH(LOWER("search"),LOWER(AB$2:AB$1000))))</f>
        <v>0</v>
      </c>
      <c r="HC15" cm="1">
        <f t="array" ref="HC15">SUMPRODUCT((Y$2:Y$1000="PS")*(F$2:F$1000=GZ15)*ISNUMBER(SEARCH("prioritization",LOWER(Z$2:Z$1000)))*ISNUMBER(SEARCH(LOWER("heuristic"),LOWER(AB$2:AB$1000))))</f>
        <v>0</v>
      </c>
      <c r="HD15" cm="1">
        <f t="array" ref="HD15">SUMPRODUCT((Y$2:Y$1000="PS")*(F$2:F$1000=GZ15)*ISNUMBER(SEARCH("prioritization",LOWER(Z$2:Z$1000)))*ISNUMBER(SEARCH(LOWER("ml"),LOWER(AB$2:AB$1000))))</f>
        <v>0</v>
      </c>
      <c r="HE15" cm="1">
        <f t="array" ref="HE15">SUMPRODUCT((Y$2:Y$1000="PS")*(F$2:F$1000=GZ15)*ISNUMBER(SEARCH("prioritization",LOWER(Z$2:Z$1000)))*ISNUMBER(SEARCH(LOWER("rule"),LOWER(AB$2:AB$1000))))</f>
        <v>0</v>
      </c>
      <c r="HF15" cm="1">
        <f t="array" ref="HF15">SUMPRODUCT((Y$2:Y$1000="PS")*(F$2:F$1000=GZ15)*ISNUMBER(SEARCH("prioritization",LOWER(Z$2:Z$1000)))*ISNUMBER(SEARCH(LOWER(HF$2),LOWER(AB$2:AB$1000))))</f>
        <v>0</v>
      </c>
      <c r="HG15" cm="1">
        <f t="array" ref="HG15">SUMPRODUCT((Y$2:Y$1000="PS")*(F$2:F$1000=GZ15)*ISNUMBER(SEARCH("prioritization",LOWER(Z$2:Z$1000)))*ISNUMBER(SEARCH(LOWER("model"),LOWER(AB$2:AB$1000))))</f>
        <v>0</v>
      </c>
      <c r="HH15" cm="1">
        <f t="array" ref="HH15">SUMPRODUCT((Y$2:Y$1000="PS")*(F$2:F$1000=GZ15)*ISNUMBER(SEARCH("prioritization",LOWER(Z$2:Z$1000)))*ISNUMBER(SEARCH(LOWER(HH$2),LOWER(AB$2:AB$1000))))</f>
        <v>0</v>
      </c>
      <c r="HI15" cm="1">
        <f t="array" ref="HI15">SUMPRODUCT((Y$2:Y$1000="PS")*(F$2:F$1000=GZ15)*ISNUMBER(SEARCH("prioritization",LOWER(Z$2:Z$1000)))*ISNUMBER(SEARCH(LOWER("quantum"),LOWER(AB$2:AB$1000))))</f>
        <v>0</v>
      </c>
      <c r="HJ15" cm="1">
        <f t="array" ref="HJ15">SUMPRODUCT((Y$2:Y$1000="PS")*(F$2:F$1000=GZ15)*ISNUMBER(SEARCH("prioritization",LOWER(Z$2:Z$1000)))*ISNUMBER(SEARCH(LOWER("genetic"),LOWER(AB$2:AB$1000))))</f>
        <v>0</v>
      </c>
      <c r="HK15" cm="1">
        <f t="array" ref="HK15">SUMPRODUCT((Y$2:Y$1000="PS")*(F$2:F$1000=GZ15)*ISNUMBER(SEARCH("prioritization",LOWER(Z$2:Z$1000)))*ISNUMBER(SEARCH(LOWER("graph"),LOWER(AB$2:AB$1000))))</f>
        <v>0</v>
      </c>
      <c r="HL15" cm="1">
        <f t="array" ref="HL15">SUMPRODUCT((Y$2:Y$1000="PS")*(F$2:F$1000=GZ15)*ISNUMBER(SEARCH("prioritization",LOWER(Z$2:Z$1000)))*ISNUMBER(SEARCH(LOWER("greedy"),LOWER(AB$2:AB$1000))))</f>
        <v>0</v>
      </c>
      <c r="HM15" cm="1">
        <f t="array" ref="HM15">SUMPRODUCT((Y$2:Y$1000="PS")*(F$2:F$1000=GZ15)*ISNUMBER(SEARCH("prioritization",LOWER(Z$2:Z$1000)))*ISNUMBER(SEARCH(LOWER("dynamic"),LOWER(AB$2:AB$1000))))</f>
        <v>0</v>
      </c>
    </row>
    <row r="16" spans="1:221" ht="409.6">
      <c r="A16" s="2">
        <v>8855691</v>
      </c>
      <c r="B16" s="2" t="s">
        <v>34</v>
      </c>
      <c r="C16" s="2" t="s">
        <v>224</v>
      </c>
      <c r="D16" s="2" t="s">
        <v>225</v>
      </c>
      <c r="E16" s="2" t="s">
        <v>226</v>
      </c>
      <c r="F16" s="2">
        <v>2019</v>
      </c>
      <c r="G16" s="2"/>
      <c r="H16" s="2"/>
      <c r="I16" s="2" t="s">
        <v>227</v>
      </c>
      <c r="J16" s="2" t="s">
        <v>228</v>
      </c>
      <c r="K16" s="2" t="s">
        <v>229</v>
      </c>
      <c r="L16" s="2" t="s">
        <v>230</v>
      </c>
      <c r="M16" s="2"/>
      <c r="N16" s="2" t="s">
        <v>231</v>
      </c>
      <c r="O16" s="2"/>
      <c r="P16" s="2"/>
      <c r="Q16" s="2"/>
      <c r="R16" s="2"/>
      <c r="S16" s="2"/>
      <c r="T16" s="2"/>
      <c r="U16" s="2"/>
      <c r="V16" s="2"/>
      <c r="W16" s="2"/>
      <c r="X16" s="2" t="s">
        <v>232</v>
      </c>
      <c r="Y16" s="2" t="s">
        <v>58</v>
      </c>
      <c r="Z16" s="2" t="s">
        <v>233</v>
      </c>
      <c r="AA16" s="2" t="s">
        <v>90</v>
      </c>
      <c r="AB16" s="2" t="s">
        <v>1383</v>
      </c>
      <c r="AC16" s="2" t="s">
        <v>105</v>
      </c>
      <c r="AD16" s="2" t="s">
        <v>234</v>
      </c>
      <c r="AE16" s="2" t="s">
        <v>235</v>
      </c>
      <c r="AF16" s="2"/>
      <c r="AG16" s="2" t="s">
        <v>236</v>
      </c>
      <c r="AH16" s="2">
        <v>0.5</v>
      </c>
      <c r="AK16">
        <f t="shared" si="6"/>
        <v>1</v>
      </c>
      <c r="AL16">
        <f t="shared" si="0"/>
        <v>0</v>
      </c>
      <c r="AM16">
        <f t="shared" si="1"/>
        <v>0</v>
      </c>
      <c r="AN16">
        <f t="shared" si="2"/>
        <v>1</v>
      </c>
      <c r="AP16" t="s">
        <v>1262</v>
      </c>
      <c r="AQ16">
        <v>3</v>
      </c>
      <c r="AR16">
        <v>25</v>
      </c>
      <c r="AS16">
        <v>91</v>
      </c>
      <c r="AT16" s="33">
        <v>119</v>
      </c>
      <c r="CN16" t="s">
        <v>1355</v>
      </c>
      <c r="CO16">
        <f>SUM(CO3:CO15)</f>
        <v>53</v>
      </c>
      <c r="CP16">
        <f>SUM(CP3:CP15)</f>
        <v>34</v>
      </c>
      <c r="CQ16">
        <f>SUM(CQ3:CQ15)</f>
        <v>22</v>
      </c>
      <c r="CZ16" s="34"/>
      <c r="EQ16">
        <f>SUM(EN16:EP16)</f>
        <v>0</v>
      </c>
      <c r="EW16">
        <f>SUM(CO16:CQ16)</f>
        <v>109</v>
      </c>
      <c r="FQ16" t="s">
        <v>1282</v>
      </c>
      <c r="FR16" s="35" cm="1">
        <f t="array" ref="FR16">SUMPRODUCT((Y$2:Y$1000="PS")*ISNUMBER(SEARCH(LOWER(FQ16),LOWER(AA$2:AA$1000)))*ISNUMBER(SEARCH("prioritization",LOWER(Z$2:Z$1000))))</f>
        <v>0</v>
      </c>
    </row>
    <row r="17" spans="1:221" ht="409.6">
      <c r="A17" s="2">
        <v>8029584</v>
      </c>
      <c r="B17" s="2" t="s">
        <v>34</v>
      </c>
      <c r="C17" s="2" t="s">
        <v>237</v>
      </c>
      <c r="D17" s="2" t="s">
        <v>238</v>
      </c>
      <c r="E17" s="2" t="s">
        <v>239</v>
      </c>
      <c r="F17" s="2">
        <v>2017</v>
      </c>
      <c r="G17" s="2">
        <v>1</v>
      </c>
      <c r="H17" s="2"/>
      <c r="I17" s="2" t="s">
        <v>240</v>
      </c>
      <c r="J17" s="2" t="s">
        <v>241</v>
      </c>
      <c r="K17" s="2" t="s">
        <v>242</v>
      </c>
      <c r="L17" s="2" t="s">
        <v>243</v>
      </c>
      <c r="M17" s="2" t="s">
        <v>55</v>
      </c>
      <c r="N17" s="2" t="s">
        <v>56</v>
      </c>
      <c r="O17" s="2"/>
      <c r="P17" s="2"/>
      <c r="Q17" s="2"/>
      <c r="R17" s="2"/>
      <c r="S17" s="2"/>
      <c r="T17" s="2"/>
      <c r="U17" s="2"/>
      <c r="V17" s="2"/>
      <c r="W17" s="2"/>
      <c r="X17" s="2" t="s">
        <v>244</v>
      </c>
      <c r="Y17" s="2" t="s">
        <v>58</v>
      </c>
      <c r="Z17" s="2" t="s">
        <v>169</v>
      </c>
      <c r="AA17" s="2" t="s">
        <v>1357</v>
      </c>
      <c r="AB17" s="2" t="s">
        <v>91</v>
      </c>
      <c r="AC17" s="2"/>
      <c r="AD17" s="2" t="s">
        <v>245</v>
      </c>
      <c r="AE17" s="2" t="s">
        <v>246</v>
      </c>
      <c r="AF17" s="2" t="s">
        <v>247</v>
      </c>
      <c r="AG17" s="2" t="s">
        <v>248</v>
      </c>
      <c r="AH17" s="2">
        <v>1</v>
      </c>
      <c r="AK17">
        <f t="shared" si="6"/>
        <v>1</v>
      </c>
      <c r="AL17">
        <f t="shared" si="0"/>
        <v>0</v>
      </c>
      <c r="AM17">
        <f t="shared" si="1"/>
        <v>0</v>
      </c>
      <c r="AN17">
        <f t="shared" si="2"/>
        <v>1</v>
      </c>
      <c r="CZ17" s="34"/>
      <c r="FQ17" t="s">
        <v>1283</v>
      </c>
      <c r="FR17" s="35" cm="1">
        <f t="array" ref="FR17">SUMPRODUCT((Y$2:Y$1000="PS")*ISNUMBER(SEARCH(LOWER(FQ17),LOWER(AA$2:AA$1000)))*ISNUMBER(SEARCH("prioritization",LOWER(Z$2:Z$1000))))</f>
        <v>2</v>
      </c>
    </row>
    <row r="18" spans="1:221" ht="409.6">
      <c r="A18" s="2">
        <v>7838169</v>
      </c>
      <c r="B18" s="2" t="s">
        <v>34</v>
      </c>
      <c r="C18" s="2" t="s">
        <v>249</v>
      </c>
      <c r="D18" s="2" t="s">
        <v>250</v>
      </c>
      <c r="E18" s="2" t="s">
        <v>251</v>
      </c>
      <c r="F18" s="2">
        <v>2016</v>
      </c>
      <c r="G18" s="2"/>
      <c r="H18" s="2"/>
      <c r="I18" s="2" t="s">
        <v>252</v>
      </c>
      <c r="J18" s="2" t="s">
        <v>253</v>
      </c>
      <c r="K18" s="2" t="s">
        <v>254</v>
      </c>
      <c r="L18" s="2" t="s">
        <v>255</v>
      </c>
      <c r="M18" s="2"/>
      <c r="N18" s="2" t="s">
        <v>167</v>
      </c>
      <c r="O18" s="2"/>
      <c r="P18" s="2"/>
      <c r="Q18" s="2"/>
      <c r="R18" s="2"/>
      <c r="S18" s="2"/>
      <c r="T18" s="2"/>
      <c r="U18" s="2"/>
      <c r="V18" s="2"/>
      <c r="W18" s="2"/>
      <c r="X18" s="2" t="s">
        <v>256</v>
      </c>
      <c r="Y18" s="2" t="s">
        <v>58</v>
      </c>
      <c r="Z18" s="2" t="s">
        <v>257</v>
      </c>
      <c r="AA18" s="2" t="s">
        <v>1358</v>
      </c>
      <c r="AB18" s="2" t="s">
        <v>207</v>
      </c>
      <c r="AC18" s="2" t="s">
        <v>258</v>
      </c>
      <c r="AD18" s="2" t="s">
        <v>259</v>
      </c>
      <c r="AE18" s="2" t="s">
        <v>260</v>
      </c>
      <c r="AF18" s="2" t="s">
        <v>65</v>
      </c>
      <c r="AG18" s="2" t="s">
        <v>66</v>
      </c>
      <c r="AH18" s="2">
        <v>0.5</v>
      </c>
      <c r="AK18">
        <f t="shared" si="6"/>
        <v>1</v>
      </c>
      <c r="AL18">
        <f t="shared" si="0"/>
        <v>0</v>
      </c>
      <c r="AM18">
        <f t="shared" si="1"/>
        <v>0</v>
      </c>
      <c r="AN18">
        <f t="shared" si="2"/>
        <v>1</v>
      </c>
      <c r="CZ18" s="34"/>
      <c r="FQ18" t="s">
        <v>1284</v>
      </c>
      <c r="FR18" s="35" cm="1">
        <f t="array" ref="FR18">SUMPRODUCT((Y$2:Y$1000="PS")*ISNUMBER(SEARCH(LOWER(FQ18),LOWER(AA$2:AA$1000)))*ISNUMBER(SEARCH("prioritization",LOWER(Z$2:Z$1000))))</f>
        <v>0</v>
      </c>
    </row>
    <row r="19" spans="1:221" ht="409.6">
      <c r="A19" s="2">
        <v>6569743</v>
      </c>
      <c r="B19" s="2" t="s">
        <v>34</v>
      </c>
      <c r="C19" s="2" t="s">
        <v>261</v>
      </c>
      <c r="D19" s="2" t="s">
        <v>262</v>
      </c>
      <c r="E19" s="2" t="s">
        <v>263</v>
      </c>
      <c r="F19" s="2">
        <v>2013</v>
      </c>
      <c r="G19" s="2"/>
      <c r="H19" s="2"/>
      <c r="I19" s="2" t="s">
        <v>264</v>
      </c>
      <c r="J19" s="2" t="s">
        <v>265</v>
      </c>
      <c r="K19" s="2" t="s">
        <v>266</v>
      </c>
      <c r="L19" s="2" t="s">
        <v>267</v>
      </c>
      <c r="M19" s="2" t="s">
        <v>218</v>
      </c>
      <c r="N19" s="2" t="s">
        <v>126</v>
      </c>
      <c r="O19" s="2"/>
      <c r="P19" s="2"/>
      <c r="Q19" s="2"/>
      <c r="R19" s="2"/>
      <c r="S19" s="2"/>
      <c r="T19" s="2"/>
      <c r="U19" s="2"/>
      <c r="V19" s="2"/>
      <c r="W19" s="2"/>
      <c r="X19" s="2" t="s">
        <v>268</v>
      </c>
      <c r="Y19" s="2" t="s">
        <v>58</v>
      </c>
      <c r="Z19" s="2" t="s">
        <v>269</v>
      </c>
      <c r="AA19" s="2" t="s">
        <v>270</v>
      </c>
      <c r="AB19" s="2" t="s">
        <v>271</v>
      </c>
      <c r="AC19" s="2" t="s">
        <v>194</v>
      </c>
      <c r="AD19" s="2" t="s">
        <v>272</v>
      </c>
      <c r="AE19" s="2" t="s">
        <v>273</v>
      </c>
      <c r="AF19" s="2" t="s">
        <v>65</v>
      </c>
      <c r="AG19" s="2" t="s">
        <v>66</v>
      </c>
      <c r="AH19" s="2">
        <v>0.5</v>
      </c>
      <c r="AK19">
        <f t="shared" si="6"/>
        <v>1</v>
      </c>
      <c r="AL19">
        <f t="shared" si="0"/>
        <v>0</v>
      </c>
      <c r="AM19">
        <f t="shared" si="1"/>
        <v>0</v>
      </c>
      <c r="AN19">
        <f t="shared" si="2"/>
        <v>1</v>
      </c>
      <c r="CZ19" s="34"/>
      <c r="FQ19" t="s">
        <v>1307</v>
      </c>
      <c r="FR19" s="35" cm="1">
        <f t="array" ref="FR19">SUMPRODUCT((Y$2:Y$1000="PS")*ISNUMBER(SEARCH(LOWER(FQ19),LOWER(AA$2:AA$1000)))*ISNUMBER(SEARCH("prioritization",LOWER(Z$2:Z$1000))))</f>
        <v>0</v>
      </c>
      <c r="GZ19" t="s">
        <v>1306</v>
      </c>
      <c r="HA19" t="s">
        <v>46</v>
      </c>
      <c r="HB19" t="s">
        <v>61</v>
      </c>
      <c r="HC19" t="s">
        <v>91</v>
      </c>
      <c r="HD19" t="s">
        <v>207</v>
      </c>
      <c r="HE19" t="s">
        <v>1341</v>
      </c>
      <c r="HF19" t="s">
        <v>1322</v>
      </c>
      <c r="HG19" t="s">
        <v>60</v>
      </c>
      <c r="HH19" t="s">
        <v>1342</v>
      </c>
      <c r="HI19" t="s">
        <v>1343</v>
      </c>
      <c r="HJ19" t="s">
        <v>1348</v>
      </c>
      <c r="HK19" t="s">
        <v>1345</v>
      </c>
      <c r="HL19" t="s">
        <v>1349</v>
      </c>
      <c r="HM19" t="s">
        <v>1347</v>
      </c>
    </row>
    <row r="20" spans="1:221" ht="409.6">
      <c r="A20" s="2">
        <v>8854718</v>
      </c>
      <c r="B20" s="2" t="s">
        <v>34</v>
      </c>
      <c r="C20" s="2" t="s">
        <v>274</v>
      </c>
      <c r="D20" s="2" t="s">
        <v>275</v>
      </c>
      <c r="E20" s="2" t="s">
        <v>276</v>
      </c>
      <c r="F20" s="2">
        <v>2019</v>
      </c>
      <c r="G20" s="2"/>
      <c r="H20" s="2"/>
      <c r="I20" s="2" t="s">
        <v>277</v>
      </c>
      <c r="J20" s="2" t="s">
        <v>278</v>
      </c>
      <c r="K20" s="2" t="s">
        <v>279</v>
      </c>
      <c r="L20" s="2" t="s">
        <v>280</v>
      </c>
      <c r="M20" s="2"/>
      <c r="N20" s="2" t="s">
        <v>56</v>
      </c>
      <c r="O20" s="2"/>
      <c r="P20" s="2"/>
      <c r="Q20" s="2"/>
      <c r="R20" s="2"/>
      <c r="S20" s="2"/>
      <c r="T20" s="2"/>
      <c r="U20" s="2"/>
      <c r="V20" s="2"/>
      <c r="W20" s="2"/>
      <c r="X20" s="2" t="s">
        <v>281</v>
      </c>
      <c r="Y20" s="2" t="s">
        <v>58</v>
      </c>
      <c r="Z20" s="2" t="s">
        <v>233</v>
      </c>
      <c r="AA20" s="2" t="s">
        <v>90</v>
      </c>
      <c r="AB20" s="2" t="s">
        <v>91</v>
      </c>
      <c r="AC20" s="2" t="s">
        <v>194</v>
      </c>
      <c r="AD20" s="2" t="s">
        <v>282</v>
      </c>
      <c r="AE20" s="2" t="s">
        <v>283</v>
      </c>
      <c r="AF20" s="2" t="s">
        <v>65</v>
      </c>
      <c r="AG20" s="2" t="s">
        <v>66</v>
      </c>
      <c r="AH20" s="2">
        <v>0.5</v>
      </c>
      <c r="AK20">
        <f t="shared" si="6"/>
        <v>1</v>
      </c>
      <c r="AL20">
        <f t="shared" si="0"/>
        <v>0</v>
      </c>
      <c r="AM20">
        <f t="shared" si="1"/>
        <v>0</v>
      </c>
      <c r="AN20">
        <f t="shared" si="2"/>
        <v>1</v>
      </c>
      <c r="CZ20" s="34"/>
      <c r="FQ20" t="s">
        <v>1285</v>
      </c>
      <c r="FR20" s="35" cm="1">
        <f t="array" ref="FR20">SUMPRODUCT((Y$2:Y$1000="PS")*ISNUMBER(SEARCH(LOWER(FQ20),LOWER(AA$2:AA$1000)))*ISNUMBER(SEARCH("prioritization",LOWER(Z$2:Z$1000))))</f>
        <v>0</v>
      </c>
      <c r="GZ20">
        <v>2013</v>
      </c>
      <c r="HA20" cm="1">
        <f t="array" ref="HA20">SUMPRODUCT((Y$2:Y$1000="PS")*(F$2:F$1000=GZ20)*ISNUMBER(SEARCH("selection",LOWER(Z$2:Z$1000)))*ISNUMBER(SEARCH(LOWER("metaheuristic"),LOWER(AB$2:AB$1000))))</f>
        <v>0</v>
      </c>
      <c r="HB20" cm="1">
        <f t="array" ref="HB20">SUMPRODUCT((Y$2:Y$1000="PS")*(F$2:F$1000=GZ20)*ISNUMBER(SEARCH("selection",LOWER(Z$2:Z$1000)))*ISNUMBER(SEARCH(LOWER("search"),LOWER(AB$2:AB$1000))))</f>
        <v>0</v>
      </c>
      <c r="HC20" cm="1">
        <f t="array" ref="HC20">SUMPRODUCT((Y$2:Y$1000="PS")*(F$2:F$1000=GZ20)*ISNUMBER(SEARCH("selection",LOWER(Z$2:Z$1000)))*ISNUMBER(SEARCH(LOWER("heuristic"),LOWER(AB$2:AB$1000))))</f>
        <v>2</v>
      </c>
      <c r="HD20" cm="1">
        <f t="array" ref="HD20">SUMPRODUCT((Y$2:Y$1000="PS")*(F$2:F$1000=GZ20)*ISNUMBER(SEARCH("selection",LOWER(Z$2:Z$1000)))*ISNUMBER(SEARCH(LOWER("ml"),LOWER(AB$2:AB$1000))))</f>
        <v>0</v>
      </c>
      <c r="HE20" cm="1">
        <f t="array" ref="HE20">SUMPRODUCT((Y$2:Y$1000="PS")*(F$2:F$1000=GZ20)*ISNUMBER(SEARCH("selection",LOWER(Z$2:Z$1000)))*ISNUMBER(SEARCH(LOWER("rule"),LOWER(AB$2:AB$1000))))</f>
        <v>0</v>
      </c>
      <c r="HF20" cm="1">
        <f t="array" ref="HF20">SUMPRODUCT((Y$2:Y$1000="PS")*(F$2:F$1000=GZ20)*ISNUMBER(SEARCH("selection",LOWER(Z$2:Z$1000)))*ISNUMBER(SEARCH(LOWER("similarity"),LOWER(AB$2:AB$1000))))</f>
        <v>0</v>
      </c>
      <c r="HG20" cm="1">
        <f t="array" ref="HG20">SUMPRODUCT((Y$2:Y$1000="PS")*(F$2:F$1000=GZ20)*ISNUMBER(SEARCH("selection",LOWER(Z$2:Z$1000)))*ISNUMBER(SEARCH(LOWER("model"),LOWER(AB$2:AB$1000))))</f>
        <v>0</v>
      </c>
      <c r="HH20" cm="1">
        <f t="array" ref="HH20">SUMPRODUCT((Y$2:Y$1000="PS")*(F$2:F$1000=GZ20)*ISNUMBER(SEARCH("selection",LOWER(Z$2:Z$1000)))*ISNUMBER(SEARCH(LOWER("dependency"),LOWER(AB$2:AB$1000))))</f>
        <v>0</v>
      </c>
      <c r="HI20" cm="1">
        <f t="array" ref="HI20">SUMPRODUCT((Y$2:Y$1000="PS")*(F$2:F$1000=GZ20)*ISNUMBER(SEARCH("selection",LOWER(Z$2:Z$1000)))*ISNUMBER(SEARCH(LOWER("quantum"),LOWER(AB$2:AB$1000))))</f>
        <v>0</v>
      </c>
      <c r="HJ20" cm="1">
        <f t="array" ref="HJ20">SUMPRODUCT((Y$2:Y$1000="PS")*(F$2:F$1000=GZ20)*ISNUMBER(SEARCH("selection",LOWER(Z$2:Z$1000)))*ISNUMBER(SEARCH(LOWER("genetic"),LOWER(AB$2:AB$1000))))</f>
        <v>0</v>
      </c>
      <c r="HK20" cm="1">
        <f t="array" ref="HK20">SUMPRODUCT((Y$2:Y$1000="PS")*(F$2:F$1000=GZ20)*ISNUMBER(SEARCH("selection",LOWER(Z$2:Z$1000)))*ISNUMBER(SEARCH(LOWER("graph"),LOWER(AB$2:AB$1000))))</f>
        <v>0</v>
      </c>
      <c r="HL20" cm="1">
        <f t="array" ref="HL20">SUMPRODUCT((Y$2:Y$1000="PS")*(F$2:F$1000=GZ20)*ISNUMBER(SEARCH("selection",LOWER(Z$2:Z$1000)))*ISNUMBER(SEARCH(LOWER("greedy"),LOWER(AB$2:AB$1000))))</f>
        <v>0</v>
      </c>
      <c r="HM20" cm="1">
        <f t="array" ref="HM20">SUMPRODUCT((Y$2:Y$1000="PS")*(F$2:F$1000=GZ20)*ISNUMBER(SEARCH("selection",LOWER(Z$2:Z$1000)))*ISNUMBER(SEARCH(LOWER("dynamic"),LOWER(AB$2:AB$1000))))</f>
        <v>0</v>
      </c>
    </row>
    <row r="21" spans="1:221" ht="409.6">
      <c r="A21" s="2">
        <v>7272924</v>
      </c>
      <c r="B21" s="2" t="s">
        <v>34</v>
      </c>
      <c r="C21" s="2" t="s">
        <v>284</v>
      </c>
      <c r="D21" s="2" t="s">
        <v>285</v>
      </c>
      <c r="E21" s="2" t="s">
        <v>286</v>
      </c>
      <c r="F21" s="2">
        <v>2015</v>
      </c>
      <c r="G21" s="2"/>
      <c r="H21" s="2"/>
      <c r="I21" s="2" t="s">
        <v>287</v>
      </c>
      <c r="J21" s="2" t="s">
        <v>288</v>
      </c>
      <c r="K21" s="2" t="s">
        <v>289</v>
      </c>
      <c r="L21" s="2" t="s">
        <v>290</v>
      </c>
      <c r="M21" s="2"/>
      <c r="N21" s="2" t="s">
        <v>231</v>
      </c>
      <c r="O21" s="2"/>
      <c r="P21" s="2"/>
      <c r="Q21" s="2"/>
      <c r="R21" s="2"/>
      <c r="S21" s="2"/>
      <c r="T21" s="2"/>
      <c r="U21" s="2"/>
      <c r="V21" s="2"/>
      <c r="W21" s="2"/>
      <c r="X21" s="2" t="s">
        <v>291</v>
      </c>
      <c r="Y21" s="2" t="s">
        <v>58</v>
      </c>
      <c r="Z21" s="2" t="s">
        <v>205</v>
      </c>
      <c r="AA21" s="2" t="s">
        <v>1359</v>
      </c>
      <c r="AB21" s="2" t="s">
        <v>91</v>
      </c>
      <c r="AC21" s="2" t="s">
        <v>258</v>
      </c>
      <c r="AD21" s="2" t="s">
        <v>293</v>
      </c>
      <c r="AE21" s="2" t="s">
        <v>294</v>
      </c>
      <c r="AF21" s="2"/>
      <c r="AG21" s="2" t="s">
        <v>295</v>
      </c>
      <c r="AH21" s="2">
        <v>0.5</v>
      </c>
      <c r="AK21">
        <f t="shared" si="6"/>
        <v>1</v>
      </c>
      <c r="AL21">
        <f t="shared" si="0"/>
        <v>0</v>
      </c>
      <c r="AM21">
        <f t="shared" si="1"/>
        <v>0</v>
      </c>
      <c r="AN21">
        <f t="shared" si="2"/>
        <v>1</v>
      </c>
      <c r="CZ21" s="34"/>
      <c r="FQ21" t="s">
        <v>1286</v>
      </c>
      <c r="FR21" s="35" cm="1">
        <f t="array" ref="FR21">SUMPRODUCT((Y$2:Y$1000="PS")*ISNUMBER(SEARCH(LOWER(FQ21),LOWER(AA$2:AA$1000)))*ISNUMBER(SEARCH("prioritization",LOWER(Z$2:Z$1000))))</f>
        <v>0</v>
      </c>
      <c r="GZ21">
        <v>2014</v>
      </c>
      <c r="HA21" cm="1">
        <f t="array" ref="HA21">SUMPRODUCT((Y$2:Y$1000="PS")*(F$2:F$1000=GZ21)*ISNUMBER(SEARCH("selection",LOWER(Z$2:Z$1000)))*ISNUMBER(SEARCH(LOWER("metaheuristic"),LOWER(AB$2:AB$1000))))</f>
        <v>0</v>
      </c>
      <c r="HB21" cm="1">
        <f t="array" ref="HB21">SUMPRODUCT((Y$2:Y$1000="PS")*(F$2:F$1000=GZ21)*ISNUMBER(SEARCH("selection",LOWER(Z$2:Z$1000)))*ISNUMBER(SEARCH(LOWER("search"),LOWER(AB$2:AB$1000))))</f>
        <v>0</v>
      </c>
      <c r="HC21" cm="1">
        <f t="array" ref="HC21">SUMPRODUCT((Y$2:Y$1000="PS")*(F$2:F$1000=GZ21)*ISNUMBER(SEARCH("selection",LOWER(Z$2:Z$1000)))*ISNUMBER(SEARCH(LOWER("heuristic"),LOWER(AB$2:AB$1000))))</f>
        <v>2</v>
      </c>
      <c r="HD21" cm="1">
        <f t="array" ref="HD21">SUMPRODUCT((Y$2:Y$1000="PS")*(F$2:F$1000=GZ21)*ISNUMBER(SEARCH("selection",LOWER(Z$2:Z$1000)))*ISNUMBER(SEARCH(LOWER("ml"),LOWER(AB$2:AB$1000))))</f>
        <v>0</v>
      </c>
      <c r="HE21" cm="1">
        <f t="array" ref="HE21">SUMPRODUCT((Y$2:Y$1000="PS")*(F$2:F$1000=GZ21)*ISNUMBER(SEARCH("selection",LOWER(Z$2:Z$1000)))*ISNUMBER(SEARCH(LOWER("rule"),LOWER(AB$2:AB$1000))))</f>
        <v>0</v>
      </c>
      <c r="HF21" cm="1">
        <f t="array" ref="HF21">SUMPRODUCT((Y$2:Y$1000="PS")*(F$2:F$1000=GZ21)*ISNUMBER(SEARCH("selection",LOWER(Z$2:Z$1000)))*ISNUMBER(SEARCH(LOWER("similarity"),LOWER(AB$2:AB$1000))))</f>
        <v>0</v>
      </c>
      <c r="HG21" cm="1">
        <f t="array" ref="HG21">SUMPRODUCT((Y$2:Y$1000="PS")*(F$2:F$1000=GZ21)*ISNUMBER(SEARCH("selection",LOWER(Z$2:Z$1000)))*ISNUMBER(SEARCH(LOWER("model"),LOWER(AB$2:AB$1000))))</f>
        <v>0</v>
      </c>
      <c r="HH21" cm="1">
        <f t="array" ref="HH21">SUMPRODUCT((Y$2:Y$1000="PS")*(F$2:F$1000=GZ21)*ISNUMBER(SEARCH("selection",LOWER(Z$2:Z$1000)))*ISNUMBER(SEARCH(LOWER("dependency"),LOWER(AB$2:AB$1000))))</f>
        <v>0</v>
      </c>
      <c r="HI21" cm="1">
        <f t="array" ref="HI21">SUMPRODUCT((Y$2:Y$1000="PS")*(F$2:F$1000=GZ21)*ISNUMBER(SEARCH("selection",LOWER(Z$2:Z$1000)))*ISNUMBER(SEARCH(LOWER("quantum"),LOWER(AB$2:AB$1000))))</f>
        <v>0</v>
      </c>
      <c r="HJ21" cm="1">
        <f t="array" ref="HJ21">SUMPRODUCT((Y$2:Y$1000="PS")*(F$2:F$1000=GZ21)*ISNUMBER(SEARCH("selection",LOWER(Z$2:Z$1000)))*ISNUMBER(SEARCH(LOWER("genetic"),LOWER(AB$2:AB$1000))))</f>
        <v>0</v>
      </c>
      <c r="HK21" cm="1">
        <f t="array" ref="HK21">SUMPRODUCT((Y$2:Y$1000="PS")*(F$2:F$1000=GZ21)*ISNUMBER(SEARCH("selection",LOWER(Z$2:Z$1000)))*ISNUMBER(SEARCH(LOWER("graph"),LOWER(AB$2:AB$1000))))</f>
        <v>0</v>
      </c>
      <c r="HL21" cm="1">
        <f t="array" ref="HL21">SUMPRODUCT((Y$2:Y$1000="PS")*(F$2:F$1000=GZ21)*ISNUMBER(SEARCH("selection",LOWER(Z$2:Z$1000)))*ISNUMBER(SEARCH(LOWER("greedy"),LOWER(AB$2:AB$1000))))</f>
        <v>1</v>
      </c>
      <c r="HM21" cm="1">
        <f t="array" ref="HM21">SUMPRODUCT((Y$2:Y$1000="PS")*(F$2:F$1000=GZ21)*ISNUMBER(SEARCH("selection",LOWER(Z$2:Z$1000)))*ISNUMBER(SEARCH(LOWER("dynamic"),LOWER(AB$2:AB$1000))))</f>
        <v>0</v>
      </c>
    </row>
    <row r="22" spans="1:221" ht="409.6">
      <c r="A22" s="2">
        <v>10196878</v>
      </c>
      <c r="B22" s="2" t="s">
        <v>34</v>
      </c>
      <c r="C22" s="2" t="s">
        <v>296</v>
      </c>
      <c r="D22" s="2" t="s">
        <v>297</v>
      </c>
      <c r="E22" s="2" t="s">
        <v>298</v>
      </c>
      <c r="F22" s="2">
        <v>2023</v>
      </c>
      <c r="G22" s="2"/>
      <c r="H22" s="2"/>
      <c r="I22" s="2" t="s">
        <v>299</v>
      </c>
      <c r="J22" s="2" t="s">
        <v>300</v>
      </c>
      <c r="K22" s="2" t="s">
        <v>301</v>
      </c>
      <c r="L22" s="2" t="s">
        <v>302</v>
      </c>
      <c r="M22" s="2" t="s">
        <v>55</v>
      </c>
      <c r="N22" s="2" t="s">
        <v>102</v>
      </c>
      <c r="O22" s="2"/>
      <c r="P22" s="2"/>
      <c r="Q22" s="2"/>
      <c r="R22" s="2"/>
      <c r="S22" s="2"/>
      <c r="T22" s="2"/>
      <c r="U22" s="2"/>
      <c r="V22" s="2"/>
      <c r="W22" s="2"/>
      <c r="X22" s="2" t="s">
        <v>303</v>
      </c>
      <c r="Y22" s="2" t="s">
        <v>58</v>
      </c>
      <c r="Z22" s="2" t="s">
        <v>304</v>
      </c>
      <c r="AA22" s="2" t="s">
        <v>60</v>
      </c>
      <c r="AB22" s="2" t="s">
        <v>305</v>
      </c>
      <c r="AC22" s="2" t="s">
        <v>258</v>
      </c>
      <c r="AD22" s="2" t="s">
        <v>306</v>
      </c>
      <c r="AE22" s="2" t="s">
        <v>307</v>
      </c>
      <c r="AF22" s="2"/>
      <c r="AG22" s="2" t="s">
        <v>308</v>
      </c>
      <c r="AH22" s="2">
        <v>0.5</v>
      </c>
      <c r="AK22">
        <f t="shared" si="6"/>
        <v>1</v>
      </c>
      <c r="AL22">
        <f t="shared" si="0"/>
        <v>0</v>
      </c>
      <c r="AM22">
        <f t="shared" si="1"/>
        <v>0</v>
      </c>
      <c r="AN22">
        <f t="shared" si="2"/>
        <v>1</v>
      </c>
      <c r="CZ22" s="34"/>
      <c r="FQ22" t="s">
        <v>1301</v>
      </c>
      <c r="FR22" s="35" cm="1">
        <f t="array" ref="FR22">SUMPRODUCT((Y$2:Y$1000="PS")*ISNUMBER(SEARCH(LOWER(FQ22),LOWER(AA$2:AA$1000)))*ISNUMBER(SEARCH("prioritization",LOWER(Z$2:Z$1000))))</f>
        <v>4</v>
      </c>
      <c r="GZ22">
        <v>2015</v>
      </c>
      <c r="HA22" cm="1">
        <f t="array" ref="HA22">SUMPRODUCT((Y$2:Y$1000="PS")*(F$2:F$1000=GZ22)*ISNUMBER(SEARCH("selection",LOWER(Z$2:Z$1000)))*ISNUMBER(SEARCH(LOWER("metaheuristic"),LOWER(AB$2:AB$1000))))</f>
        <v>0</v>
      </c>
      <c r="HB22" cm="1">
        <f t="array" ref="HB22">SUMPRODUCT((Y$2:Y$1000="PS")*(F$2:F$1000=GZ22)*ISNUMBER(SEARCH("selection",LOWER(Z$2:Z$1000)))*ISNUMBER(SEARCH(LOWER("search"),LOWER(AB$2:AB$1000))))</f>
        <v>0</v>
      </c>
      <c r="HC22" cm="1">
        <f t="array" ref="HC22">SUMPRODUCT((Y$2:Y$1000="PS")*(F$2:F$1000=GZ22)*ISNUMBER(SEARCH("selection",LOWER(Z$2:Z$1000)))*ISNUMBER(SEARCH(LOWER("heuristic"),LOWER(AB$2:AB$1000))))</f>
        <v>0</v>
      </c>
      <c r="HD22" cm="1">
        <f t="array" ref="HD22">SUMPRODUCT((Y$2:Y$1000="PS")*(F$2:F$1000=GZ22)*ISNUMBER(SEARCH("selection",LOWER(Z$2:Z$1000)))*ISNUMBER(SEARCH(LOWER("ml"),LOWER(AB$2:AB$1000))))</f>
        <v>0</v>
      </c>
      <c r="HE22" cm="1">
        <f t="array" ref="HE22">SUMPRODUCT((Y$2:Y$1000="PS")*(F$2:F$1000=GZ22)*ISNUMBER(SEARCH("selection",LOWER(Z$2:Z$1000)))*ISNUMBER(SEARCH(LOWER("rule"),LOWER(AB$2:AB$1000))))</f>
        <v>0</v>
      </c>
      <c r="HF22" cm="1">
        <f t="array" ref="HF22">SUMPRODUCT((Y$2:Y$1000="PS")*(F$2:F$1000=GZ22)*ISNUMBER(SEARCH("selection",LOWER(Z$2:Z$1000)))*ISNUMBER(SEARCH(LOWER("similarity"),LOWER(AB$2:AB$1000))))</f>
        <v>0</v>
      </c>
      <c r="HG22" cm="1">
        <f t="array" ref="HG22">SUMPRODUCT((Y$2:Y$1000="PS")*(F$2:F$1000=GZ22)*ISNUMBER(SEARCH("selection",LOWER(Z$2:Z$1000)))*ISNUMBER(SEARCH(LOWER("model"),LOWER(AB$2:AB$1000))))</f>
        <v>0</v>
      </c>
      <c r="HH22" cm="1">
        <f t="array" ref="HH22">SUMPRODUCT((Y$2:Y$1000="PS")*(F$2:F$1000=GZ22)*ISNUMBER(SEARCH("selection",LOWER(Z$2:Z$1000)))*ISNUMBER(SEARCH(LOWER("dependency"),LOWER(AB$2:AB$1000))))</f>
        <v>0</v>
      </c>
      <c r="HI22" cm="1">
        <f t="array" ref="HI22">SUMPRODUCT((Y$2:Y$1000="PS")*(F$2:F$1000=GZ22)*ISNUMBER(SEARCH("selection",LOWER(Z$2:Z$1000)))*ISNUMBER(SEARCH(LOWER("quantum"),LOWER(AB$2:AB$1000))))</f>
        <v>0</v>
      </c>
      <c r="HJ22" cm="1">
        <f t="array" ref="HJ22">SUMPRODUCT((Y$2:Y$1000="PS")*(F$2:F$1000=GZ22)*ISNUMBER(SEARCH("selection",LOWER(Z$2:Z$1000)))*ISNUMBER(SEARCH(LOWER("genetic"),LOWER(AB$2:AB$1000))))</f>
        <v>0</v>
      </c>
      <c r="HK22" cm="1">
        <f t="array" ref="HK22">SUMPRODUCT((Y$2:Y$1000="PS")*(F$2:F$1000=GZ22)*ISNUMBER(SEARCH("selection",LOWER(Z$2:Z$1000)))*ISNUMBER(SEARCH(LOWER("graph"),LOWER(AB$2:AB$1000))))</f>
        <v>0</v>
      </c>
      <c r="HL22" cm="1">
        <f t="array" ref="HL22">SUMPRODUCT((Y$2:Y$1000="PS")*(F$2:F$1000=GZ22)*ISNUMBER(SEARCH("selection",LOWER(Z$2:Z$1000)))*ISNUMBER(SEARCH(LOWER("greedy"),LOWER(AB$2:AB$1000))))</f>
        <v>0</v>
      </c>
      <c r="HM22" cm="1">
        <f t="array" ref="HM22">SUMPRODUCT((Y$2:Y$1000="PS")*(F$2:F$1000=GZ22)*ISNUMBER(SEARCH("selection",LOWER(Z$2:Z$1000)))*ISNUMBER(SEARCH(LOWER("dynamic"),LOWER(AB$2:AB$1000))))</f>
        <v>0</v>
      </c>
    </row>
    <row r="23" spans="1:221" ht="409.6">
      <c r="A23" s="2">
        <v>7589817</v>
      </c>
      <c r="B23" s="2" t="s">
        <v>34</v>
      </c>
      <c r="C23" s="2" t="s">
        <v>309</v>
      </c>
      <c r="D23" s="2" t="s">
        <v>310</v>
      </c>
      <c r="E23" s="2" t="s">
        <v>311</v>
      </c>
      <c r="F23" s="2">
        <v>2016</v>
      </c>
      <c r="G23" s="2"/>
      <c r="H23" s="2"/>
      <c r="I23" s="2" t="s">
        <v>277</v>
      </c>
      <c r="J23" s="2" t="s">
        <v>312</v>
      </c>
      <c r="K23" s="2" t="s">
        <v>313</v>
      </c>
      <c r="L23" s="2" t="s">
        <v>314</v>
      </c>
      <c r="M23" s="2"/>
      <c r="N23" s="2" t="s">
        <v>231</v>
      </c>
      <c r="O23" s="2"/>
      <c r="P23" s="2"/>
      <c r="Q23" s="2"/>
      <c r="R23" s="2"/>
      <c r="S23" s="2"/>
      <c r="T23" s="2"/>
      <c r="U23" s="2"/>
      <c r="V23" s="2"/>
      <c r="W23" s="2"/>
      <c r="X23" s="2" t="s">
        <v>315</v>
      </c>
      <c r="Y23" s="2" t="s">
        <v>58</v>
      </c>
      <c r="Z23" s="2" t="s">
        <v>257</v>
      </c>
      <c r="AA23" s="2" t="s">
        <v>1359</v>
      </c>
      <c r="AB23" s="2" t="s">
        <v>91</v>
      </c>
      <c r="AC23" s="2" t="s">
        <v>62</v>
      </c>
      <c r="AD23" s="2" t="s">
        <v>316</v>
      </c>
      <c r="AE23" s="2" t="s">
        <v>317</v>
      </c>
      <c r="AF23" s="2" t="s">
        <v>318</v>
      </c>
      <c r="AG23" s="3" t="s">
        <v>319</v>
      </c>
      <c r="AH23" s="2">
        <v>0.5</v>
      </c>
      <c r="AK23">
        <f t="shared" si="6"/>
        <v>1</v>
      </c>
      <c r="AL23">
        <f t="shared" si="0"/>
        <v>0</v>
      </c>
      <c r="AM23">
        <f t="shared" si="1"/>
        <v>0</v>
      </c>
      <c r="AN23">
        <f t="shared" si="2"/>
        <v>1</v>
      </c>
      <c r="FQ23" t="s">
        <v>1304</v>
      </c>
      <c r="FR23" s="35" cm="1">
        <f t="array" ref="FR23">SUMPRODUCT((Y$2:Y$1000="PS")*ISNUMBER(SEARCH("prioritization",LOWER(Z$2:Z$1000)))*(NOT(ISNUMBER(SEARCH("coverage",LOWER(AA$2:AA$1000)))))*(NOT(ISNUMBER(SEARCH("requirement",LOWER(AA$2:AA$1000)))))*(NOT(ISNUMBER(SEARCH("probabilistic",LOWER(AA$2:AA$1000)))))*(NOT(ISNUMBER(SEARCH("distribution",LOWER(AA$2:AA$1000)))))*(NOT(ISNUMBER(SEARCH("clustering",LOWER(AA$2:AA$1000)))))*(NOT(ISNUMBER(SEARCH("history",LOWER(AA$2:AA$1000)))))*(NOT(ISNUMBER(SEARCH("model",LOWER(AA$2:AA$1000)))))*(NOT(ISNUMBER(SEARCH("cost-aware",LOWER(AA$2:AA$1000)))))*(NOT(ISNUMBER(SEARCH("similarity",LOWER(AA$2:AA$1000)))))*(NOT(ISNUMBER(SEARCH("input",LOWER(AA$2:AA$1000)))))*(NOT(ISNUMBER(SEARCH("structure",LOWER(AA$2:AA$1000)))))*(NOT(ISNUMBER(SEARCH("change",LOWER(AA$2:AA$1000)))))*(NOT(ISNUMBER(SEARCH("ml",LOWER(AA$2:AA$1000)))))*(NOT(ISNUMBER(SEARCH("heuristic",LOWER(AA$2:AA$1000)))))*(NOT(ISNUMBER(SEARCH("search",LOWER(AA$2:AA$1000)))))*(NOT(ISNUMBER(SEARCH("transfer",LOWER(AA$2:AA$1000)))))*(NOT(ISNUMBER(SEARCH("risk",LOWER(AA$2:AA$1000)))))*(NOT(ISNUMBER(SEARCH("nlp",LOWER(AA$2:AA$1000)))))*(NOT(ISNUMBER(SEARCH("design",LOWER(AA$2:AA$1000))))))</f>
        <v>13</v>
      </c>
      <c r="GZ23">
        <v>2016</v>
      </c>
      <c r="HA23" cm="1">
        <f t="array" ref="HA23">SUMPRODUCT((Y$2:Y$1000="PS")*(F$2:F$1000=GZ23)*ISNUMBER(SEARCH("selection",LOWER(Z$2:Z$1000)))*ISNUMBER(SEARCH(LOWER("metaheuristic"),LOWER(AB$2:AB$1000))))</f>
        <v>0</v>
      </c>
      <c r="HB23" cm="1">
        <f t="array" ref="HB23">SUMPRODUCT((Y$2:Y$1000="PS")*(F$2:F$1000=GZ23)*ISNUMBER(SEARCH("selection",LOWER(Z$2:Z$1000)))*ISNUMBER(SEARCH(LOWER("search"),LOWER(AB$2:AB$1000))))</f>
        <v>0</v>
      </c>
      <c r="HC23" cm="1">
        <f t="array" ref="HC23">SUMPRODUCT((Y$2:Y$1000="PS")*(F$2:F$1000=GZ23)*ISNUMBER(SEARCH("selection",LOWER(Z$2:Z$1000)))*ISNUMBER(SEARCH(LOWER("heuristic"),LOWER(AB$2:AB$1000))))</f>
        <v>1</v>
      </c>
      <c r="HD23" cm="1">
        <f t="array" ref="HD23">SUMPRODUCT((Y$2:Y$1000="PS")*(F$2:F$1000=GZ23)*ISNUMBER(SEARCH("selection",LOWER(Z$2:Z$1000)))*ISNUMBER(SEARCH(LOWER("ml"),LOWER(AB$2:AB$1000))))</f>
        <v>0</v>
      </c>
      <c r="HE23" cm="1">
        <f t="array" ref="HE23">SUMPRODUCT((Y$2:Y$1000="PS")*(F$2:F$1000=GZ23)*ISNUMBER(SEARCH("selection",LOWER(Z$2:Z$1000)))*ISNUMBER(SEARCH(LOWER("rule"),LOWER(AB$2:AB$1000))))</f>
        <v>0</v>
      </c>
      <c r="HF23" cm="1">
        <f t="array" ref="HF23">SUMPRODUCT((Y$2:Y$1000="PS")*(F$2:F$1000=GZ23)*ISNUMBER(SEARCH("selection",LOWER(Z$2:Z$1000)))*ISNUMBER(SEARCH(LOWER("similarity"),LOWER(AB$2:AB$1000))))</f>
        <v>0</v>
      </c>
      <c r="HG23" cm="1">
        <f t="array" ref="HG23">SUMPRODUCT((Y$2:Y$1000="PS")*(F$2:F$1000=GZ23)*ISNUMBER(SEARCH("selection",LOWER(Z$2:Z$1000)))*ISNUMBER(SEARCH(LOWER("model"),LOWER(AB$2:AB$1000))))</f>
        <v>0</v>
      </c>
      <c r="HH23" cm="1">
        <f t="array" ref="HH23">SUMPRODUCT((Y$2:Y$1000="PS")*(F$2:F$1000=GZ23)*ISNUMBER(SEARCH("selection",LOWER(Z$2:Z$1000)))*ISNUMBER(SEARCH(LOWER("dependency"),LOWER(AB$2:AB$1000))))</f>
        <v>0</v>
      </c>
      <c r="HI23" cm="1">
        <f t="array" ref="HI23">SUMPRODUCT((Y$2:Y$1000="PS")*(F$2:F$1000=GZ23)*ISNUMBER(SEARCH("selection",LOWER(Z$2:Z$1000)))*ISNUMBER(SEARCH(LOWER("quantum"),LOWER(AB$2:AB$1000))))</f>
        <v>0</v>
      </c>
      <c r="HJ23" cm="1">
        <f t="array" ref="HJ23">SUMPRODUCT((Y$2:Y$1000="PS")*(F$2:F$1000=GZ23)*ISNUMBER(SEARCH("selection",LOWER(Z$2:Z$1000)))*ISNUMBER(SEARCH(LOWER("genetic"),LOWER(AB$2:AB$1000))))</f>
        <v>0</v>
      </c>
      <c r="HK23" cm="1">
        <f t="array" ref="HK23">SUMPRODUCT((Y$2:Y$1000="PS")*(F$2:F$1000=GZ23)*ISNUMBER(SEARCH("selection",LOWER(Z$2:Z$1000)))*ISNUMBER(SEARCH(LOWER("graph"),LOWER(AB$2:AB$1000))))</f>
        <v>0</v>
      </c>
      <c r="HL23" cm="1">
        <f t="array" ref="HL23">SUMPRODUCT((Y$2:Y$1000="PS")*(F$2:F$1000=GZ23)*ISNUMBER(SEARCH("selection",LOWER(Z$2:Z$1000)))*ISNUMBER(SEARCH(LOWER("greedy"),LOWER(AB$2:AB$1000))))</f>
        <v>0</v>
      </c>
      <c r="HM23" cm="1">
        <f t="array" ref="HM23">SUMPRODUCT((Y$2:Y$1000="PS")*(F$2:F$1000=GZ23)*ISNUMBER(SEARCH("selection",LOWER(Z$2:Z$1000)))*ISNUMBER(SEARCH(LOWER("dynamic"),LOWER(AB$2:AB$1000))))</f>
        <v>0</v>
      </c>
    </row>
    <row r="24" spans="1:221" ht="409.6">
      <c r="A24" s="2">
        <v>7381799</v>
      </c>
      <c r="B24" s="2" t="s">
        <v>34</v>
      </c>
      <c r="C24" s="2" t="s">
        <v>320</v>
      </c>
      <c r="D24" s="2" t="s">
        <v>321</v>
      </c>
      <c r="E24" s="2" t="s">
        <v>322</v>
      </c>
      <c r="F24" s="2">
        <v>2015</v>
      </c>
      <c r="G24" s="2"/>
      <c r="H24" s="2"/>
      <c r="I24" s="2" t="s">
        <v>323</v>
      </c>
      <c r="J24" s="2" t="s">
        <v>324</v>
      </c>
      <c r="K24" s="2" t="s">
        <v>325</v>
      </c>
      <c r="L24" s="2" t="s">
        <v>326</v>
      </c>
      <c r="M24" s="2"/>
      <c r="N24" s="2" t="s">
        <v>327</v>
      </c>
      <c r="O24" s="2"/>
      <c r="P24" s="2"/>
      <c r="Q24" s="2"/>
      <c r="R24" s="2"/>
      <c r="S24" s="2"/>
      <c r="T24" s="2"/>
      <c r="U24" s="2"/>
      <c r="V24" s="2"/>
      <c r="W24" s="2"/>
      <c r="X24" s="2" t="s">
        <v>328</v>
      </c>
      <c r="Y24" s="2" t="s">
        <v>58</v>
      </c>
      <c r="Z24" s="2" t="s">
        <v>205</v>
      </c>
      <c r="AA24" s="2" t="s">
        <v>114</v>
      </c>
      <c r="AB24" s="2" t="s">
        <v>91</v>
      </c>
      <c r="AC24" s="2" t="s">
        <v>62</v>
      </c>
      <c r="AD24" s="2" t="s">
        <v>329</v>
      </c>
      <c r="AE24" s="2" t="s">
        <v>330</v>
      </c>
      <c r="AF24" s="2"/>
      <c r="AG24" s="2" t="s">
        <v>331</v>
      </c>
      <c r="AH24" s="2">
        <v>0.5</v>
      </c>
      <c r="AK24">
        <f t="shared" si="6"/>
        <v>1</v>
      </c>
      <c r="AL24">
        <f t="shared" si="0"/>
        <v>0</v>
      </c>
      <c r="AM24">
        <f t="shared" si="1"/>
        <v>0</v>
      </c>
      <c r="AN24">
        <f t="shared" si="2"/>
        <v>1</v>
      </c>
      <c r="FQ24" t="s">
        <v>1287</v>
      </c>
      <c r="GZ24">
        <v>2017</v>
      </c>
      <c r="HA24" cm="1">
        <f t="array" ref="HA24">SUMPRODUCT((Y$2:Y$1000="PS")*(F$2:F$1000=GZ24)*ISNUMBER(SEARCH("selection",LOWER(Z$2:Z$1000)))*ISNUMBER(SEARCH(LOWER("metaheuristic"),LOWER(AB$2:AB$1000))))</f>
        <v>0</v>
      </c>
      <c r="HB24" cm="1">
        <f t="array" ref="HB24">SUMPRODUCT((Y$2:Y$1000="PS")*(F$2:F$1000=GZ24)*ISNUMBER(SEARCH("selection",LOWER(Z$2:Z$1000)))*ISNUMBER(SEARCH(LOWER("search"),LOWER(AB$2:AB$1000))))</f>
        <v>0</v>
      </c>
      <c r="HC24" cm="1">
        <f t="array" ref="HC24">SUMPRODUCT((Y$2:Y$1000="PS")*(F$2:F$1000=GZ24)*ISNUMBER(SEARCH("selection",LOWER(Z$2:Z$1000)))*ISNUMBER(SEARCH(LOWER("heuristic"),LOWER(AB$2:AB$1000))))</f>
        <v>2</v>
      </c>
      <c r="HD24" cm="1">
        <f t="array" ref="HD24">SUMPRODUCT((Y$2:Y$1000="PS")*(F$2:F$1000=GZ24)*ISNUMBER(SEARCH("selection",LOWER(Z$2:Z$1000)))*ISNUMBER(SEARCH(LOWER("ml"),LOWER(AB$2:AB$1000))))</f>
        <v>1</v>
      </c>
      <c r="HE24" cm="1">
        <f t="array" ref="HE24">SUMPRODUCT((Y$2:Y$1000="PS")*(F$2:F$1000=GZ24)*ISNUMBER(SEARCH("selection",LOWER(Z$2:Z$1000)))*ISNUMBER(SEARCH(LOWER("rule"),LOWER(AB$2:AB$1000))))</f>
        <v>0</v>
      </c>
      <c r="HF24" cm="1">
        <f t="array" ref="HF24">SUMPRODUCT((Y$2:Y$1000="PS")*(F$2:F$1000=GZ24)*ISNUMBER(SEARCH("selection",LOWER(Z$2:Z$1000)))*ISNUMBER(SEARCH(LOWER("similarity"),LOWER(AB$2:AB$1000))))</f>
        <v>0</v>
      </c>
      <c r="HG24" cm="1">
        <f t="array" ref="HG24">SUMPRODUCT((Y$2:Y$1000="PS")*(F$2:F$1000=GZ24)*ISNUMBER(SEARCH("selection",LOWER(Z$2:Z$1000)))*ISNUMBER(SEARCH(LOWER("model"),LOWER(AB$2:AB$1000))))</f>
        <v>0</v>
      </c>
      <c r="HH24" cm="1">
        <f t="array" ref="HH24">SUMPRODUCT((Y$2:Y$1000="PS")*(F$2:F$1000=GZ24)*ISNUMBER(SEARCH("selection",LOWER(Z$2:Z$1000)))*ISNUMBER(SEARCH(LOWER("dependency"),LOWER(AB$2:AB$1000))))</f>
        <v>0</v>
      </c>
      <c r="HI24" cm="1">
        <f t="array" ref="HI24">SUMPRODUCT((Y$2:Y$1000="PS")*(F$2:F$1000=GZ24)*ISNUMBER(SEARCH("selection",LOWER(Z$2:Z$1000)))*ISNUMBER(SEARCH(LOWER("quantum"),LOWER(AB$2:AB$1000))))</f>
        <v>0</v>
      </c>
      <c r="HJ24" cm="1">
        <f t="array" ref="HJ24">SUMPRODUCT((Y$2:Y$1000="PS")*(F$2:F$1000=GZ24)*ISNUMBER(SEARCH("selection",LOWER(Z$2:Z$1000)))*ISNUMBER(SEARCH(LOWER("genetic"),LOWER(AB$2:AB$1000))))</f>
        <v>0</v>
      </c>
      <c r="HK24" cm="1">
        <f t="array" ref="HK24">SUMPRODUCT((Y$2:Y$1000="PS")*(F$2:F$1000=GZ24)*ISNUMBER(SEARCH("selection",LOWER(Z$2:Z$1000)))*ISNUMBER(SEARCH(LOWER("graph"),LOWER(AB$2:AB$1000))))</f>
        <v>0</v>
      </c>
      <c r="HL24" cm="1">
        <f t="array" ref="HL24">SUMPRODUCT((Y$2:Y$1000="PS")*(F$2:F$1000=GZ24)*ISNUMBER(SEARCH("selection",LOWER(Z$2:Z$1000)))*ISNUMBER(SEARCH(LOWER("greedy"),LOWER(AB$2:AB$1000))))</f>
        <v>0</v>
      </c>
      <c r="HM24" cm="1">
        <f t="array" ref="HM24">SUMPRODUCT((Y$2:Y$1000="PS")*(F$2:F$1000=GZ24)*ISNUMBER(SEARCH("selection",LOWER(Z$2:Z$1000)))*ISNUMBER(SEARCH(LOWER("dynamic"),LOWER(AB$2:AB$1000))))</f>
        <v>0</v>
      </c>
    </row>
    <row r="25" spans="1:221" ht="409.6">
      <c r="A25" s="2">
        <v>10621714</v>
      </c>
      <c r="B25" s="2" t="s">
        <v>34</v>
      </c>
      <c r="C25" s="2" t="s">
        <v>332</v>
      </c>
      <c r="D25" s="2" t="s">
        <v>333</v>
      </c>
      <c r="E25" s="2" t="s">
        <v>334</v>
      </c>
      <c r="F25" s="2">
        <v>2024</v>
      </c>
      <c r="G25" s="2"/>
      <c r="H25" s="2"/>
      <c r="I25" s="2" t="s">
        <v>335</v>
      </c>
      <c r="J25" s="2" t="s">
        <v>336</v>
      </c>
      <c r="K25" s="2" t="s">
        <v>337</v>
      </c>
      <c r="L25" s="2" t="s">
        <v>338</v>
      </c>
      <c r="M25" s="2"/>
      <c r="N25" s="2" t="s">
        <v>126</v>
      </c>
      <c r="O25" s="2"/>
      <c r="P25" s="2"/>
      <c r="Q25" s="2"/>
      <c r="R25" s="2"/>
      <c r="S25" s="2"/>
      <c r="T25" s="2"/>
      <c r="U25" s="2"/>
      <c r="V25" s="2"/>
      <c r="W25" s="2"/>
      <c r="X25" s="2" t="s">
        <v>339</v>
      </c>
      <c r="Y25" s="2" t="s">
        <v>58</v>
      </c>
      <c r="Z25" s="2" t="s">
        <v>340</v>
      </c>
      <c r="AA25" s="2" t="s">
        <v>114</v>
      </c>
      <c r="AB25" s="2" t="s">
        <v>271</v>
      </c>
      <c r="AC25" s="2" t="s">
        <v>341</v>
      </c>
      <c r="AD25" s="2" t="s">
        <v>342</v>
      </c>
      <c r="AE25" s="2" t="s">
        <v>343</v>
      </c>
      <c r="AF25" s="2" t="s">
        <v>65</v>
      </c>
      <c r="AG25" s="2" t="s">
        <v>344</v>
      </c>
      <c r="AH25" s="2">
        <v>0.5</v>
      </c>
      <c r="AK25">
        <f t="shared" si="6"/>
        <v>1</v>
      </c>
      <c r="AL25">
        <f t="shared" si="0"/>
        <v>0</v>
      </c>
      <c r="AM25">
        <f t="shared" si="1"/>
        <v>0</v>
      </c>
      <c r="AN25">
        <f t="shared" si="2"/>
        <v>1</v>
      </c>
      <c r="FQ25" t="s">
        <v>1265</v>
      </c>
      <c r="FR25" t="s">
        <v>1266</v>
      </c>
      <c r="GZ25">
        <v>2018</v>
      </c>
      <c r="HA25" cm="1">
        <f t="array" ref="HA25">SUMPRODUCT((Y$2:Y$1000="PS")*(F$2:F$1000=GZ25)*ISNUMBER(SEARCH("selection",LOWER(Z$2:Z$1000)))*ISNUMBER(SEARCH(LOWER("metaheuristic"),LOWER(AB$2:AB$1000))))</f>
        <v>0</v>
      </c>
      <c r="HB25" cm="1">
        <f t="array" ref="HB25">SUMPRODUCT((Y$2:Y$1000="PS")*(F$2:F$1000=GZ25)*ISNUMBER(SEARCH("selection",LOWER(Z$2:Z$1000)))*ISNUMBER(SEARCH(LOWER("search"),LOWER(AB$2:AB$1000))))</f>
        <v>0</v>
      </c>
      <c r="HC25" cm="1">
        <f t="array" ref="HC25">SUMPRODUCT((Y$2:Y$1000="PS")*(F$2:F$1000=GZ25)*ISNUMBER(SEARCH("selection",LOWER(Z$2:Z$1000)))*ISNUMBER(SEARCH(LOWER("heuristic"),LOWER(AB$2:AB$1000))))</f>
        <v>3</v>
      </c>
      <c r="HD25" cm="1">
        <f t="array" ref="HD25">SUMPRODUCT((Y$2:Y$1000="PS")*(F$2:F$1000=GZ25)*ISNUMBER(SEARCH("selection",LOWER(Z$2:Z$1000)))*ISNUMBER(SEARCH(LOWER("ml"),LOWER(AB$2:AB$1000))))</f>
        <v>0</v>
      </c>
      <c r="HE25" cm="1">
        <f t="array" ref="HE25">SUMPRODUCT((Y$2:Y$1000="PS")*(F$2:F$1000=GZ25)*ISNUMBER(SEARCH("selection",LOWER(Z$2:Z$1000)))*ISNUMBER(SEARCH(LOWER("rule"),LOWER(AB$2:AB$1000))))</f>
        <v>0</v>
      </c>
      <c r="HF25" cm="1">
        <f t="array" ref="HF25">SUMPRODUCT((Y$2:Y$1000="PS")*(F$2:F$1000=GZ25)*ISNUMBER(SEARCH("selection",LOWER(Z$2:Z$1000)))*ISNUMBER(SEARCH(LOWER("similarity"),LOWER(AB$2:AB$1000))))</f>
        <v>0</v>
      </c>
      <c r="HG25" cm="1">
        <f t="array" ref="HG25">SUMPRODUCT((Y$2:Y$1000="PS")*(F$2:F$1000=GZ25)*ISNUMBER(SEARCH("selection",LOWER(Z$2:Z$1000)))*ISNUMBER(SEARCH(LOWER("model"),LOWER(AB$2:AB$1000))))</f>
        <v>0</v>
      </c>
      <c r="HH25" cm="1">
        <f t="array" ref="HH25">SUMPRODUCT((Y$2:Y$1000="PS")*(F$2:F$1000=GZ25)*ISNUMBER(SEARCH("selection",LOWER(Z$2:Z$1000)))*ISNUMBER(SEARCH(LOWER("dependency"),LOWER(AB$2:AB$1000))))</f>
        <v>0</v>
      </c>
      <c r="HI25" cm="1">
        <f t="array" ref="HI25">SUMPRODUCT((Y$2:Y$1000="PS")*(F$2:F$1000=GZ25)*ISNUMBER(SEARCH("selection",LOWER(Z$2:Z$1000)))*ISNUMBER(SEARCH(LOWER("quantum"),LOWER(AB$2:AB$1000))))</f>
        <v>0</v>
      </c>
      <c r="HJ25" cm="1">
        <f t="array" ref="HJ25">SUMPRODUCT((Y$2:Y$1000="PS")*(F$2:F$1000=GZ25)*ISNUMBER(SEARCH("selection",LOWER(Z$2:Z$1000)))*ISNUMBER(SEARCH(LOWER("genetic"),LOWER(AB$2:AB$1000))))</f>
        <v>0</v>
      </c>
      <c r="HK25" cm="1">
        <f t="array" ref="HK25">SUMPRODUCT((Y$2:Y$1000="PS")*(F$2:F$1000=GZ25)*ISNUMBER(SEARCH("selection",LOWER(Z$2:Z$1000)))*ISNUMBER(SEARCH(LOWER("graph"),LOWER(AB$2:AB$1000))))</f>
        <v>1</v>
      </c>
      <c r="HL25" cm="1">
        <f t="array" ref="HL25">SUMPRODUCT((Y$2:Y$1000="PS")*(F$2:F$1000=GZ25)*ISNUMBER(SEARCH("selection",LOWER(Z$2:Z$1000)))*ISNUMBER(SEARCH(LOWER("greedy"),LOWER(AB$2:AB$1000))))</f>
        <v>0</v>
      </c>
      <c r="HM25" cm="1">
        <f t="array" ref="HM25">SUMPRODUCT((Y$2:Y$1000="PS")*(F$2:F$1000=GZ25)*ISNUMBER(SEARCH("selection",LOWER(Z$2:Z$1000)))*ISNUMBER(SEARCH(LOWER("dynamic"),LOWER(AB$2:AB$1000))))</f>
        <v>0</v>
      </c>
    </row>
    <row r="26" spans="1:221" ht="409.6">
      <c r="A26" s="2">
        <v>8530033</v>
      </c>
      <c r="B26" s="2" t="s">
        <v>34</v>
      </c>
      <c r="C26" s="2" t="s">
        <v>345</v>
      </c>
      <c r="D26" s="2" t="s">
        <v>346</v>
      </c>
      <c r="E26" s="2" t="s">
        <v>347</v>
      </c>
      <c r="F26" s="2">
        <v>2018</v>
      </c>
      <c r="G26" s="2"/>
      <c r="H26" s="2"/>
      <c r="I26" s="2" t="s">
        <v>348</v>
      </c>
      <c r="J26" s="2" t="s">
        <v>349</v>
      </c>
      <c r="K26" s="2" t="s">
        <v>350</v>
      </c>
      <c r="L26" s="2" t="s">
        <v>351</v>
      </c>
      <c r="M26" s="2" t="s">
        <v>352</v>
      </c>
      <c r="N26" s="2" t="s">
        <v>353</v>
      </c>
      <c r="O26" s="2"/>
      <c r="P26" s="2"/>
      <c r="Q26" s="2"/>
      <c r="R26" s="2"/>
      <c r="S26" s="2"/>
      <c r="T26" s="2"/>
      <c r="U26" s="2"/>
      <c r="V26" s="2"/>
      <c r="W26" s="2"/>
      <c r="X26" s="2" t="s">
        <v>354</v>
      </c>
      <c r="Y26" s="2" t="s">
        <v>58</v>
      </c>
      <c r="Z26" s="2" t="s">
        <v>355</v>
      </c>
      <c r="AA26" s="2" t="s">
        <v>356</v>
      </c>
      <c r="AB26" s="2" t="s">
        <v>1385</v>
      </c>
      <c r="AC26" s="2" t="s">
        <v>357</v>
      </c>
      <c r="AD26" s="2" t="s">
        <v>358</v>
      </c>
      <c r="AE26" s="2" t="s">
        <v>359</v>
      </c>
      <c r="AF26" s="2" t="s">
        <v>360</v>
      </c>
      <c r="AG26" s="2" t="s">
        <v>361</v>
      </c>
      <c r="AH26" s="2">
        <v>0.5</v>
      </c>
      <c r="AK26">
        <f t="shared" si="6"/>
        <v>1</v>
      </c>
      <c r="AL26">
        <f t="shared" si="0"/>
        <v>0</v>
      </c>
      <c r="AM26">
        <f t="shared" si="1"/>
        <v>0</v>
      </c>
      <c r="AN26">
        <f t="shared" si="2"/>
        <v>1</v>
      </c>
      <c r="FQ26" t="s">
        <v>1288</v>
      </c>
      <c r="FR26" s="35" cm="1">
        <f t="array" ref="FR26">SUMPRODUCT((Y$2:Y$1000="PS")*ISNUMBER(SEARCH(LOWER(FQ26),LOWER(AA$2:AA$1000)))*ISNUMBER(SEARCH("selection",LOWER(Z$2:Z$1000))))</f>
        <v>6</v>
      </c>
      <c r="GZ26">
        <v>2019</v>
      </c>
      <c r="HA26" cm="1">
        <f t="array" ref="HA26">SUMPRODUCT((Y$2:Y$1000="PS")*(F$2:F$1000=GZ26)*ISNUMBER(SEARCH("selection",LOWER(Z$2:Z$1000)))*ISNUMBER(SEARCH(LOWER("metaheuristic"),LOWER(AB$2:AB$1000))))</f>
        <v>0</v>
      </c>
      <c r="HB26" cm="1">
        <f t="array" ref="HB26">SUMPRODUCT((Y$2:Y$1000="PS")*(F$2:F$1000=GZ26)*ISNUMBER(SEARCH("selection",LOWER(Z$2:Z$1000)))*ISNUMBER(SEARCH(LOWER("search"),LOWER(AB$2:AB$1000))))</f>
        <v>0</v>
      </c>
      <c r="HC26" cm="1">
        <f t="array" ref="HC26">SUMPRODUCT((Y$2:Y$1000="PS")*(F$2:F$1000=GZ26)*ISNUMBER(SEARCH("selection",LOWER(Z$2:Z$1000)))*ISNUMBER(SEARCH(LOWER("heuristic"),LOWER(AB$2:AB$1000))))</f>
        <v>1</v>
      </c>
      <c r="HD26" cm="1">
        <f t="array" ref="HD26">SUMPRODUCT((Y$2:Y$1000="PS")*(F$2:F$1000=GZ26)*ISNUMBER(SEARCH("selection",LOWER(Z$2:Z$1000)))*ISNUMBER(SEARCH(LOWER("ml"),LOWER(AB$2:AB$1000))))</f>
        <v>0</v>
      </c>
      <c r="HE26" cm="1">
        <f t="array" ref="HE26">SUMPRODUCT((Y$2:Y$1000="PS")*(F$2:F$1000=GZ26)*ISNUMBER(SEARCH("selection",LOWER(Z$2:Z$1000)))*ISNUMBER(SEARCH(LOWER("rule"),LOWER(AB$2:AB$1000))))</f>
        <v>0</v>
      </c>
      <c r="HF26" cm="1">
        <f t="array" ref="HF26">SUMPRODUCT((Y$2:Y$1000="PS")*(F$2:F$1000=GZ26)*ISNUMBER(SEARCH("selection",LOWER(Z$2:Z$1000)))*ISNUMBER(SEARCH(LOWER("similarity"),LOWER(AB$2:AB$1000))))</f>
        <v>0</v>
      </c>
      <c r="HG26" cm="1">
        <f t="array" ref="HG26">SUMPRODUCT((Y$2:Y$1000="PS")*(F$2:F$1000=GZ26)*ISNUMBER(SEARCH("selection",LOWER(Z$2:Z$1000)))*ISNUMBER(SEARCH(LOWER("model"),LOWER(AB$2:AB$1000))))</f>
        <v>0</v>
      </c>
      <c r="HH26" cm="1">
        <f t="array" ref="HH26">SUMPRODUCT((Y$2:Y$1000="PS")*(F$2:F$1000=GZ26)*ISNUMBER(SEARCH("selection",LOWER(Z$2:Z$1000)))*ISNUMBER(SEARCH(LOWER("dependency"),LOWER(AB$2:AB$1000))))</f>
        <v>0</v>
      </c>
      <c r="HI26" cm="1">
        <f t="array" ref="HI26">SUMPRODUCT((Y$2:Y$1000="PS")*(F$2:F$1000=GZ26)*ISNUMBER(SEARCH("selection",LOWER(Z$2:Z$1000)))*ISNUMBER(SEARCH(LOWER("quantum"),LOWER(AB$2:AB$1000))))</f>
        <v>0</v>
      </c>
      <c r="HJ26" cm="1">
        <f t="array" ref="HJ26">SUMPRODUCT((Y$2:Y$1000="PS")*(F$2:F$1000=GZ26)*ISNUMBER(SEARCH("selection",LOWER(Z$2:Z$1000)))*ISNUMBER(SEARCH(LOWER("genetic"),LOWER(AB$2:AB$1000))))</f>
        <v>0</v>
      </c>
      <c r="HK26" cm="1">
        <f t="array" ref="HK26">SUMPRODUCT((Y$2:Y$1000="PS")*(F$2:F$1000=GZ26)*ISNUMBER(SEARCH("selection",LOWER(Z$2:Z$1000)))*ISNUMBER(SEARCH(LOWER("graph"),LOWER(AB$2:AB$1000))))</f>
        <v>0</v>
      </c>
      <c r="HL26" cm="1">
        <f t="array" ref="HL26">SUMPRODUCT((Y$2:Y$1000="PS")*(F$2:F$1000=GZ26)*ISNUMBER(SEARCH("selection",LOWER(Z$2:Z$1000)))*ISNUMBER(SEARCH(LOWER("greedy"),LOWER(AB$2:AB$1000))))</f>
        <v>0</v>
      </c>
      <c r="HM26" cm="1">
        <f t="array" ref="HM26">SUMPRODUCT((Y$2:Y$1000="PS")*(F$2:F$1000=GZ26)*ISNUMBER(SEARCH("selection",LOWER(Z$2:Z$1000)))*ISNUMBER(SEARCH(LOWER("dynamic"),LOWER(AB$2:AB$1000))))</f>
        <v>1</v>
      </c>
    </row>
    <row r="27" spans="1:221" ht="409.6">
      <c r="A27" s="2">
        <v>9825820</v>
      </c>
      <c r="B27" s="2" t="s">
        <v>34</v>
      </c>
      <c r="C27" s="2" t="s">
        <v>362</v>
      </c>
      <c r="D27" s="2" t="s">
        <v>363</v>
      </c>
      <c r="E27" s="2" t="s">
        <v>364</v>
      </c>
      <c r="F27" s="2">
        <v>2022</v>
      </c>
      <c r="G27" s="2"/>
      <c r="H27" s="2"/>
      <c r="I27" s="2" t="s">
        <v>365</v>
      </c>
      <c r="J27" s="2" t="s">
        <v>366</v>
      </c>
      <c r="K27" s="2" t="s">
        <v>367</v>
      </c>
      <c r="L27" s="2" t="s">
        <v>368</v>
      </c>
      <c r="M27" s="2" t="s">
        <v>369</v>
      </c>
      <c r="N27" s="2" t="s">
        <v>126</v>
      </c>
      <c r="O27" s="2"/>
      <c r="P27" s="2"/>
      <c r="Q27" s="2"/>
      <c r="R27" s="2"/>
      <c r="S27" s="2"/>
      <c r="T27" s="2"/>
      <c r="U27" s="2"/>
      <c r="V27" s="2"/>
      <c r="W27" s="2"/>
      <c r="X27" s="2" t="s">
        <v>370</v>
      </c>
      <c r="Y27" s="2" t="s">
        <v>58</v>
      </c>
      <c r="Z27" s="2" t="s">
        <v>220</v>
      </c>
      <c r="AA27" s="2" t="s">
        <v>114</v>
      </c>
      <c r="AB27" s="2" t="s">
        <v>371</v>
      </c>
      <c r="AC27" s="2" t="s">
        <v>208</v>
      </c>
      <c r="AD27" s="2" t="s">
        <v>372</v>
      </c>
      <c r="AE27" s="2" t="s">
        <v>373</v>
      </c>
      <c r="AF27" s="2" t="s">
        <v>65</v>
      </c>
      <c r="AG27" s="2" t="s">
        <v>374</v>
      </c>
      <c r="AH27" s="2">
        <v>0.5</v>
      </c>
      <c r="AK27">
        <f t="shared" si="6"/>
        <v>1</v>
      </c>
      <c r="AL27">
        <f t="shared" si="0"/>
        <v>0</v>
      </c>
      <c r="AM27">
        <f t="shared" si="1"/>
        <v>0</v>
      </c>
      <c r="AN27">
        <f t="shared" si="2"/>
        <v>1</v>
      </c>
      <c r="FQ27" t="s">
        <v>1289</v>
      </c>
      <c r="FR27" s="35" cm="1">
        <f t="array" ref="FR27">SUMPRODUCT((Y$2:Y$1000="PS")*ISNUMBER(SEARCH(LOWER(FQ27),LOWER(AA$2:AA$1000)))*ISNUMBER(SEARCH("selection",LOWER(Z$2:Z$1000))))</f>
        <v>0</v>
      </c>
      <c r="GZ27">
        <v>2020</v>
      </c>
      <c r="HA27" cm="1">
        <f t="array" ref="HA27">SUMPRODUCT((Y$2:Y$1000="PS")*(F$2:F$1000=GZ27)*ISNUMBER(SEARCH("selection",LOWER(Z$2:Z$1000)))*ISNUMBER(SEARCH(LOWER("metaheuristic"),LOWER(AB$2:AB$1000))))</f>
        <v>0</v>
      </c>
      <c r="HB27" cm="1">
        <f t="array" ref="HB27">SUMPRODUCT((Y$2:Y$1000="PS")*(F$2:F$1000=GZ27)*ISNUMBER(SEARCH("selection",LOWER(Z$2:Z$1000)))*ISNUMBER(SEARCH(LOWER("search"),LOWER(AB$2:AB$1000))))</f>
        <v>0</v>
      </c>
      <c r="HC27" cm="1">
        <f t="array" ref="HC27">SUMPRODUCT((Y$2:Y$1000="PS")*(F$2:F$1000=GZ27)*ISNUMBER(SEARCH("selection",LOWER(Z$2:Z$1000)))*ISNUMBER(SEARCH(LOWER("heuristic"),LOWER(AB$2:AB$1000))))</f>
        <v>1</v>
      </c>
      <c r="HD27" cm="1">
        <f t="array" ref="HD27">SUMPRODUCT((Y$2:Y$1000="PS")*(F$2:F$1000=GZ27)*ISNUMBER(SEARCH("selection",LOWER(Z$2:Z$1000)))*ISNUMBER(SEARCH(LOWER("ml"),LOWER(AB$2:AB$1000))))</f>
        <v>0</v>
      </c>
      <c r="HE27" cm="1">
        <f t="array" ref="HE27">SUMPRODUCT((Y$2:Y$1000="PS")*(F$2:F$1000=GZ27)*ISNUMBER(SEARCH("selection",LOWER(Z$2:Z$1000)))*ISNUMBER(SEARCH(LOWER("rule"),LOWER(AB$2:AB$1000))))</f>
        <v>0</v>
      </c>
      <c r="HF27" cm="1">
        <f t="array" ref="HF27">SUMPRODUCT((Y$2:Y$1000="PS")*(F$2:F$1000=GZ27)*ISNUMBER(SEARCH("selection",LOWER(Z$2:Z$1000)))*ISNUMBER(SEARCH(LOWER("similarity"),LOWER(AB$2:AB$1000))))</f>
        <v>0</v>
      </c>
      <c r="HG27" cm="1">
        <f t="array" ref="HG27">SUMPRODUCT((Y$2:Y$1000="PS")*(F$2:F$1000=GZ27)*ISNUMBER(SEARCH("selection",LOWER(Z$2:Z$1000)))*ISNUMBER(SEARCH(LOWER("model"),LOWER(AB$2:AB$1000))))</f>
        <v>0</v>
      </c>
      <c r="HH27" cm="1">
        <f t="array" ref="HH27">SUMPRODUCT((Y$2:Y$1000="PS")*(F$2:F$1000=GZ27)*ISNUMBER(SEARCH("selection",LOWER(Z$2:Z$1000)))*ISNUMBER(SEARCH(LOWER("dependency"),LOWER(AB$2:AB$1000))))</f>
        <v>0</v>
      </c>
      <c r="HI27" cm="1">
        <f t="array" ref="HI27">SUMPRODUCT((Y$2:Y$1000="PS")*(F$2:F$1000=GZ27)*ISNUMBER(SEARCH("selection",LOWER(Z$2:Z$1000)))*ISNUMBER(SEARCH(LOWER("quantum"),LOWER(AB$2:AB$1000))))</f>
        <v>0</v>
      </c>
      <c r="HJ27" cm="1">
        <f t="array" ref="HJ27">SUMPRODUCT((Y$2:Y$1000="PS")*(F$2:F$1000=GZ27)*ISNUMBER(SEARCH("selection",LOWER(Z$2:Z$1000)))*ISNUMBER(SEARCH(LOWER("genetic"),LOWER(AB$2:AB$1000))))</f>
        <v>0</v>
      </c>
      <c r="HK27" cm="1">
        <f t="array" ref="HK27">SUMPRODUCT((Y$2:Y$1000="PS")*(F$2:F$1000=GZ27)*ISNUMBER(SEARCH("selection",LOWER(Z$2:Z$1000)))*ISNUMBER(SEARCH(LOWER("graph"),LOWER(AB$2:AB$1000))))</f>
        <v>0</v>
      </c>
      <c r="HL27" cm="1">
        <f t="array" ref="HL27">SUMPRODUCT((Y$2:Y$1000="PS")*(F$2:F$1000=GZ27)*ISNUMBER(SEARCH("selection",LOWER(Z$2:Z$1000)))*ISNUMBER(SEARCH(LOWER("greedy"),LOWER(AB$2:AB$1000))))</f>
        <v>0</v>
      </c>
      <c r="HM27" cm="1">
        <f t="array" ref="HM27">SUMPRODUCT((Y$2:Y$1000="PS")*(F$2:F$1000=GZ27)*ISNUMBER(SEARCH("selection",LOWER(Z$2:Z$1000)))*ISNUMBER(SEARCH(LOWER("dynamic"),LOWER(AB$2:AB$1000))))</f>
        <v>0</v>
      </c>
    </row>
    <row r="28" spans="1:221" ht="409.6">
      <c r="A28" s="2">
        <v>7272927</v>
      </c>
      <c r="B28" s="2" t="s">
        <v>34</v>
      </c>
      <c r="C28" s="2" t="s">
        <v>375</v>
      </c>
      <c r="D28" s="2" t="s">
        <v>285</v>
      </c>
      <c r="E28" s="2" t="s">
        <v>376</v>
      </c>
      <c r="F28" s="2">
        <v>2015</v>
      </c>
      <c r="G28" s="2"/>
      <c r="H28" s="2"/>
      <c r="I28" s="2" t="s">
        <v>377</v>
      </c>
      <c r="J28" s="2" t="s">
        <v>378</v>
      </c>
      <c r="K28" s="2" t="s">
        <v>379</v>
      </c>
      <c r="L28" s="2" t="s">
        <v>380</v>
      </c>
      <c r="M28" s="2"/>
      <c r="N28" s="2" t="s">
        <v>231</v>
      </c>
      <c r="O28" s="2"/>
      <c r="P28" s="2"/>
      <c r="Q28" s="2"/>
      <c r="R28" s="2"/>
      <c r="S28" s="2"/>
      <c r="T28" s="2"/>
      <c r="U28" s="2"/>
      <c r="V28" s="2"/>
      <c r="W28" s="2"/>
      <c r="X28" s="2" t="s">
        <v>381</v>
      </c>
      <c r="Y28" s="2" t="s">
        <v>58</v>
      </c>
      <c r="Z28" s="2" t="s">
        <v>382</v>
      </c>
      <c r="AA28" s="2" t="s">
        <v>114</v>
      </c>
      <c r="AB28" s="2" t="s">
        <v>383</v>
      </c>
      <c r="AC28" s="2" t="s">
        <v>384</v>
      </c>
      <c r="AD28" s="2"/>
      <c r="AE28" s="2" t="s">
        <v>385</v>
      </c>
      <c r="AF28" s="2"/>
      <c r="AG28" s="2" t="s">
        <v>66</v>
      </c>
      <c r="AH28" s="2">
        <v>0</v>
      </c>
      <c r="AK28">
        <f t="shared" si="6"/>
        <v>1</v>
      </c>
      <c r="AL28">
        <f t="shared" si="0"/>
        <v>0</v>
      </c>
      <c r="AM28">
        <f t="shared" si="1"/>
        <v>0</v>
      </c>
      <c r="AN28">
        <f t="shared" si="2"/>
        <v>1</v>
      </c>
      <c r="FQ28" t="s">
        <v>1290</v>
      </c>
      <c r="FR28" s="35" cm="1">
        <f t="array" ref="FR28">SUMPRODUCT((Y$2:Y$1000="PS")*ISNUMBER(SEARCH(LOWER(FQ28),LOWER(AA$2:AA$1000)))*ISNUMBER(SEARCH("selection",LOWER(Z$2:Z$1000))))</f>
        <v>1</v>
      </c>
      <c r="GZ28">
        <v>2021</v>
      </c>
      <c r="HA28" cm="1">
        <f t="array" ref="HA28">SUMPRODUCT((Y$2:Y$1000="PS")*(F$2:F$1000=GZ28)*ISNUMBER(SEARCH("selection",LOWER(Z$2:Z$1000)))*ISNUMBER(SEARCH(LOWER("metaheuristic"),LOWER(AB$2:AB$1000))))</f>
        <v>0</v>
      </c>
      <c r="HB28" cm="1">
        <f t="array" ref="HB28">SUMPRODUCT((Y$2:Y$1000="PS")*(F$2:F$1000=GZ28)*ISNUMBER(SEARCH("selection",LOWER(Z$2:Z$1000)))*ISNUMBER(SEARCH(LOWER("search"),LOWER(AB$2:AB$1000))))</f>
        <v>0</v>
      </c>
      <c r="HC28" cm="1">
        <f t="array" ref="HC28">SUMPRODUCT((Y$2:Y$1000="PS")*(F$2:F$1000=GZ28)*ISNUMBER(SEARCH("selection",LOWER(Z$2:Z$1000)))*ISNUMBER(SEARCH(LOWER("heuristic"),LOWER(AB$2:AB$1000))))</f>
        <v>0</v>
      </c>
      <c r="HD28" cm="1">
        <f t="array" ref="HD28">SUMPRODUCT((Y$2:Y$1000="PS")*(F$2:F$1000=GZ28)*ISNUMBER(SEARCH("selection",LOWER(Z$2:Z$1000)))*ISNUMBER(SEARCH(LOWER("ml"),LOWER(AB$2:AB$1000))))</f>
        <v>1</v>
      </c>
      <c r="HE28" cm="1">
        <f t="array" ref="HE28">SUMPRODUCT((Y$2:Y$1000="PS")*(F$2:F$1000=GZ28)*ISNUMBER(SEARCH("selection",LOWER(Z$2:Z$1000)))*ISNUMBER(SEARCH(LOWER("rule"),LOWER(AB$2:AB$1000))))</f>
        <v>0</v>
      </c>
      <c r="HF28" cm="1">
        <f t="array" ref="HF28">SUMPRODUCT((Y$2:Y$1000="PS")*(F$2:F$1000=GZ28)*ISNUMBER(SEARCH("selection",LOWER(Z$2:Z$1000)))*ISNUMBER(SEARCH(LOWER("similarity"),LOWER(AB$2:AB$1000))))</f>
        <v>0</v>
      </c>
      <c r="HG28" cm="1">
        <f t="array" ref="HG28">SUMPRODUCT((Y$2:Y$1000="PS")*(F$2:F$1000=GZ28)*ISNUMBER(SEARCH("selection",LOWER(Z$2:Z$1000)))*ISNUMBER(SEARCH(LOWER("model"),LOWER(AB$2:AB$1000))))</f>
        <v>0</v>
      </c>
      <c r="HH28" cm="1">
        <f t="array" ref="HH28">SUMPRODUCT((Y$2:Y$1000="PS")*(F$2:F$1000=GZ28)*ISNUMBER(SEARCH("selection",LOWER(Z$2:Z$1000)))*ISNUMBER(SEARCH(LOWER("dependency"),LOWER(AB$2:AB$1000))))</f>
        <v>0</v>
      </c>
      <c r="HI28" cm="1">
        <f t="array" ref="HI28">SUMPRODUCT((Y$2:Y$1000="PS")*(F$2:F$1000=GZ28)*ISNUMBER(SEARCH("selection",LOWER(Z$2:Z$1000)))*ISNUMBER(SEARCH(LOWER("quantum"),LOWER(AB$2:AB$1000))))</f>
        <v>0</v>
      </c>
      <c r="HJ28" cm="1">
        <f t="array" ref="HJ28">SUMPRODUCT((Y$2:Y$1000="PS")*(F$2:F$1000=GZ28)*ISNUMBER(SEARCH("selection",LOWER(Z$2:Z$1000)))*ISNUMBER(SEARCH(LOWER("genetic"),LOWER(AB$2:AB$1000))))</f>
        <v>0</v>
      </c>
      <c r="HK28" cm="1">
        <f t="array" ref="HK28">SUMPRODUCT((Y$2:Y$1000="PS")*(F$2:F$1000=GZ28)*ISNUMBER(SEARCH("selection",LOWER(Z$2:Z$1000)))*ISNUMBER(SEARCH(LOWER("graph"),LOWER(AB$2:AB$1000))))</f>
        <v>0</v>
      </c>
      <c r="HL28" cm="1">
        <f t="array" ref="HL28">SUMPRODUCT((Y$2:Y$1000="PS")*(F$2:F$1000=GZ28)*ISNUMBER(SEARCH("selection",LOWER(Z$2:Z$1000)))*ISNUMBER(SEARCH(LOWER("greedy"),LOWER(AB$2:AB$1000))))</f>
        <v>0</v>
      </c>
      <c r="HM28" cm="1">
        <f t="array" ref="HM28">SUMPRODUCT((Y$2:Y$1000="PS")*(F$2:F$1000=GZ28)*ISNUMBER(SEARCH("selection",LOWER(Z$2:Z$1000)))*ISNUMBER(SEARCH(LOWER("dynamic"),LOWER(AB$2:AB$1000))))</f>
        <v>0</v>
      </c>
    </row>
    <row r="29" spans="1:221" ht="409.6">
      <c r="A29" s="2">
        <v>8539203</v>
      </c>
      <c r="B29" s="2" t="s">
        <v>34</v>
      </c>
      <c r="C29" s="2" t="s">
        <v>386</v>
      </c>
      <c r="D29" s="2" t="s">
        <v>387</v>
      </c>
      <c r="E29" s="2" t="s">
        <v>388</v>
      </c>
      <c r="F29" s="2">
        <v>2018</v>
      </c>
      <c r="G29" s="2"/>
      <c r="H29" s="2"/>
      <c r="I29" s="2" t="s">
        <v>389</v>
      </c>
      <c r="J29" s="2" t="s">
        <v>390</v>
      </c>
      <c r="K29" s="2" t="s">
        <v>391</v>
      </c>
      <c r="L29" s="2" t="s">
        <v>392</v>
      </c>
      <c r="M29" s="2"/>
      <c r="N29" s="2" t="s">
        <v>393</v>
      </c>
      <c r="O29" s="2"/>
      <c r="P29" s="2"/>
      <c r="Q29" s="2"/>
      <c r="R29" s="2"/>
      <c r="S29" s="2"/>
      <c r="T29" s="2"/>
      <c r="U29" s="2"/>
      <c r="V29" s="2"/>
      <c r="W29" s="2"/>
      <c r="X29" s="2" t="s">
        <v>394</v>
      </c>
      <c r="Y29" s="2" t="s">
        <v>58</v>
      </c>
      <c r="Z29" s="2" t="s">
        <v>355</v>
      </c>
      <c r="AA29" s="2" t="s">
        <v>1360</v>
      </c>
      <c r="AB29" s="2" t="s">
        <v>1371</v>
      </c>
      <c r="AC29" s="2" t="s">
        <v>384</v>
      </c>
      <c r="AD29" s="2" t="s">
        <v>396</v>
      </c>
      <c r="AE29" s="2" t="s">
        <v>397</v>
      </c>
      <c r="AF29" s="2" t="s">
        <v>184</v>
      </c>
      <c r="AG29" s="2" t="s">
        <v>398</v>
      </c>
      <c r="AH29" s="2">
        <v>0.5</v>
      </c>
      <c r="AK29">
        <f t="shared" si="6"/>
        <v>1</v>
      </c>
      <c r="AL29">
        <f t="shared" si="0"/>
        <v>0</v>
      </c>
      <c r="AM29">
        <f t="shared" si="1"/>
        <v>0</v>
      </c>
      <c r="AN29">
        <f t="shared" si="2"/>
        <v>1</v>
      </c>
      <c r="FQ29" t="s">
        <v>1291</v>
      </c>
      <c r="FR29" s="35" cm="1">
        <f t="array" ref="FR29">SUMPRODUCT((Y$2:Y$1000="PS")*ISNUMBER(SEARCH(LOWER(FQ29),LOWER(AA$2:AA$1000)))*ISNUMBER(SEARCH("selection",LOWER(Z$2:Z$1000))))</f>
        <v>0</v>
      </c>
      <c r="GZ29">
        <v>2022</v>
      </c>
      <c r="HA29" cm="1">
        <f t="array" ref="HA29">SUMPRODUCT((Y$2:Y$1000="PS")*(F$2:F$1000=GZ29)*ISNUMBER(SEARCH("selection",LOWER(Z$2:Z$1000)))*ISNUMBER(SEARCH(LOWER("metaheuristic"),LOWER(AB$2:AB$1000))))</f>
        <v>0</v>
      </c>
      <c r="HB29" cm="1">
        <f t="array" ref="HB29">SUMPRODUCT((Y$2:Y$1000="PS")*(F$2:F$1000=GZ29)*ISNUMBER(SEARCH("selection",LOWER(Z$2:Z$1000)))*ISNUMBER(SEARCH(LOWER("search"),LOWER(AB$2:AB$1000))))</f>
        <v>0</v>
      </c>
      <c r="HC29" cm="1">
        <f t="array" ref="HC29">SUMPRODUCT((Y$2:Y$1000="PS")*(F$2:F$1000=GZ29)*ISNUMBER(SEARCH("selection",LOWER(Z$2:Z$1000)))*ISNUMBER(SEARCH(LOWER("heuristic"),LOWER(AB$2:AB$1000))))</f>
        <v>1</v>
      </c>
      <c r="HD29" cm="1">
        <f t="array" ref="HD29">SUMPRODUCT((Y$2:Y$1000="PS")*(F$2:F$1000=GZ29)*ISNUMBER(SEARCH("selection",LOWER(Z$2:Z$1000)))*ISNUMBER(SEARCH(LOWER("ml"),LOWER(AB$2:AB$1000))))</f>
        <v>0</v>
      </c>
      <c r="HE29" cm="1">
        <f t="array" ref="HE29">SUMPRODUCT((Y$2:Y$1000="PS")*(F$2:F$1000=GZ29)*ISNUMBER(SEARCH("selection",LOWER(Z$2:Z$1000)))*ISNUMBER(SEARCH(LOWER("rule"),LOWER(AB$2:AB$1000))))</f>
        <v>0</v>
      </c>
      <c r="HF29" cm="1">
        <f t="array" ref="HF29">SUMPRODUCT((Y$2:Y$1000="PS")*(F$2:F$1000=GZ29)*ISNUMBER(SEARCH("selection",LOWER(Z$2:Z$1000)))*ISNUMBER(SEARCH(LOWER("similarity"),LOWER(AB$2:AB$1000))))</f>
        <v>0</v>
      </c>
      <c r="HG29" cm="1">
        <f t="array" ref="HG29">SUMPRODUCT((Y$2:Y$1000="PS")*(F$2:F$1000=GZ29)*ISNUMBER(SEARCH("selection",LOWER(Z$2:Z$1000)))*ISNUMBER(SEARCH(LOWER("model"),LOWER(AB$2:AB$1000))))</f>
        <v>0</v>
      </c>
      <c r="HH29" cm="1">
        <f t="array" ref="HH29">SUMPRODUCT((Y$2:Y$1000="PS")*(F$2:F$1000=GZ29)*ISNUMBER(SEARCH("selection",LOWER(Z$2:Z$1000)))*ISNUMBER(SEARCH(LOWER("dependency"),LOWER(AB$2:AB$1000))))</f>
        <v>0</v>
      </c>
      <c r="HI29" cm="1">
        <f t="array" ref="HI29">SUMPRODUCT((Y$2:Y$1000="PS")*(F$2:F$1000=GZ29)*ISNUMBER(SEARCH("selection",LOWER(Z$2:Z$1000)))*ISNUMBER(SEARCH(LOWER("quantum"),LOWER(AB$2:AB$1000))))</f>
        <v>0</v>
      </c>
      <c r="HJ29" cm="1">
        <f t="array" ref="HJ29">SUMPRODUCT((Y$2:Y$1000="PS")*(F$2:F$1000=GZ29)*ISNUMBER(SEARCH("selection",LOWER(Z$2:Z$1000)))*ISNUMBER(SEARCH(LOWER("genetic"),LOWER(AB$2:AB$1000))))</f>
        <v>0</v>
      </c>
      <c r="HK29" cm="1">
        <f t="array" ref="HK29">SUMPRODUCT((Y$2:Y$1000="PS")*(F$2:F$1000=GZ29)*ISNUMBER(SEARCH("selection",LOWER(Z$2:Z$1000)))*ISNUMBER(SEARCH(LOWER("graph"),LOWER(AB$2:AB$1000))))</f>
        <v>0</v>
      </c>
      <c r="HL29" cm="1">
        <f t="array" ref="HL29">SUMPRODUCT((Y$2:Y$1000="PS")*(F$2:F$1000=GZ29)*ISNUMBER(SEARCH("selection",LOWER(Z$2:Z$1000)))*ISNUMBER(SEARCH(LOWER("greedy"),LOWER(AB$2:AB$1000))))</f>
        <v>0</v>
      </c>
      <c r="HM29" cm="1">
        <f t="array" ref="HM29">SUMPRODUCT((Y$2:Y$1000="PS")*(F$2:F$1000=GZ29)*ISNUMBER(SEARCH("selection",LOWER(Z$2:Z$1000)))*ISNUMBER(SEARCH(LOWER("dynamic"),LOWER(AB$2:AB$1000))))</f>
        <v>0</v>
      </c>
    </row>
    <row r="30" spans="1:221" ht="409.6">
      <c r="A30" s="2">
        <v>6928903</v>
      </c>
      <c r="B30" s="2" t="s">
        <v>34</v>
      </c>
      <c r="C30" s="2" t="s">
        <v>399</v>
      </c>
      <c r="D30" s="2" t="s">
        <v>400</v>
      </c>
      <c r="E30" s="2" t="s">
        <v>401</v>
      </c>
      <c r="F30" s="2">
        <v>2014</v>
      </c>
      <c r="G30" s="2"/>
      <c r="H30" s="2"/>
      <c r="I30" s="2" t="s">
        <v>402</v>
      </c>
      <c r="J30" s="2" t="s">
        <v>403</v>
      </c>
      <c r="K30" s="2" t="s">
        <v>404</v>
      </c>
      <c r="L30" s="2" t="s">
        <v>405</v>
      </c>
      <c r="M30" s="2"/>
      <c r="N30" s="2" t="s">
        <v>102</v>
      </c>
      <c r="O30" s="2"/>
      <c r="P30" s="2"/>
      <c r="Q30" s="2"/>
      <c r="R30" s="2"/>
      <c r="S30" s="2"/>
      <c r="T30" s="2"/>
      <c r="U30" s="2"/>
      <c r="V30" s="2"/>
      <c r="W30" s="2"/>
      <c r="X30" s="2" t="s">
        <v>406</v>
      </c>
      <c r="Y30" s="2" t="s">
        <v>58</v>
      </c>
      <c r="Z30" s="2" t="s">
        <v>407</v>
      </c>
      <c r="AA30" s="2" t="s">
        <v>408</v>
      </c>
      <c r="AB30" s="2" t="s">
        <v>409</v>
      </c>
      <c r="AC30" s="2" t="s">
        <v>131</v>
      </c>
      <c r="AD30" s="2" t="s">
        <v>410</v>
      </c>
      <c r="AE30" s="2"/>
      <c r="AF30" s="2" t="s">
        <v>411</v>
      </c>
      <c r="AG30" s="2" t="s">
        <v>66</v>
      </c>
      <c r="AH30" s="2">
        <v>0.5</v>
      </c>
      <c r="AK30">
        <f t="shared" si="6"/>
        <v>1</v>
      </c>
      <c r="AL30">
        <f t="shared" si="0"/>
        <v>0</v>
      </c>
      <c r="AM30">
        <f t="shared" si="1"/>
        <v>0</v>
      </c>
      <c r="AN30">
        <f t="shared" si="2"/>
        <v>1</v>
      </c>
      <c r="FQ30" t="s">
        <v>1292</v>
      </c>
      <c r="FR30" s="35" cm="1">
        <f t="array" ref="FR30">SUMPRODUCT((Y$2:Y$1000="PS")*ISNUMBER(SEARCH(LOWER(FQ30),LOWER(AA$2:AA$1000)))*ISNUMBER(SEARCH("selection",LOWER(Z$2:Z$1000))))</f>
        <v>3</v>
      </c>
      <c r="GZ30">
        <v>2023</v>
      </c>
      <c r="HA30" cm="1">
        <f t="array" ref="HA30">SUMPRODUCT((Y$2:Y$1000="PS")*(F$2:F$1000=GZ30)*ISNUMBER(SEARCH("selection",LOWER(Z$2:Z$1000)))*ISNUMBER(SEARCH(LOWER("metaheuristic"),LOWER(AB$2:AB$1000))))</f>
        <v>0</v>
      </c>
      <c r="HB30" cm="1">
        <f t="array" ref="HB30">SUMPRODUCT((Y$2:Y$1000="PS")*(F$2:F$1000=GZ30)*ISNUMBER(SEARCH("selection",LOWER(Z$2:Z$1000)))*ISNUMBER(SEARCH(LOWER("search"),LOWER(AB$2:AB$1000))))</f>
        <v>0</v>
      </c>
      <c r="HC30" cm="1">
        <f t="array" ref="HC30">SUMPRODUCT((Y$2:Y$1000="PS")*(F$2:F$1000=GZ30)*ISNUMBER(SEARCH("selection",LOWER(Z$2:Z$1000)))*ISNUMBER(SEARCH(LOWER("heuristic"),LOWER(AB$2:AB$1000))))</f>
        <v>0</v>
      </c>
      <c r="HD30" cm="1">
        <f t="array" ref="HD30">SUMPRODUCT((Y$2:Y$1000="PS")*(F$2:F$1000=GZ30)*ISNUMBER(SEARCH("selection",LOWER(Z$2:Z$1000)))*ISNUMBER(SEARCH(LOWER("ml"),LOWER(AB$2:AB$1000))))</f>
        <v>0</v>
      </c>
      <c r="HE30" cm="1">
        <f t="array" ref="HE30">SUMPRODUCT((Y$2:Y$1000="PS")*(F$2:F$1000=GZ30)*ISNUMBER(SEARCH("selection",LOWER(Z$2:Z$1000)))*ISNUMBER(SEARCH(LOWER("rule"),LOWER(AB$2:AB$1000))))</f>
        <v>0</v>
      </c>
      <c r="HF30" cm="1">
        <f t="array" ref="HF30">SUMPRODUCT((Y$2:Y$1000="PS")*(F$2:F$1000=GZ30)*ISNUMBER(SEARCH("selection",LOWER(Z$2:Z$1000)))*ISNUMBER(SEARCH(LOWER("similarity"),LOWER(AB$2:AB$1000))))</f>
        <v>0</v>
      </c>
      <c r="HG30" cm="1">
        <f t="array" ref="HG30">SUMPRODUCT((Y$2:Y$1000="PS")*(F$2:F$1000=GZ30)*ISNUMBER(SEARCH("selection",LOWER(Z$2:Z$1000)))*ISNUMBER(SEARCH(LOWER("model"),LOWER(AB$2:AB$1000))))</f>
        <v>0</v>
      </c>
      <c r="HH30" cm="1">
        <f t="array" ref="HH30">SUMPRODUCT((Y$2:Y$1000="PS")*(F$2:F$1000=GZ30)*ISNUMBER(SEARCH("selection",LOWER(Z$2:Z$1000)))*ISNUMBER(SEARCH(LOWER("dependency"),LOWER(AB$2:AB$1000))))</f>
        <v>0</v>
      </c>
      <c r="HI30" cm="1">
        <f t="array" ref="HI30">SUMPRODUCT((Y$2:Y$1000="PS")*(F$2:F$1000=GZ30)*ISNUMBER(SEARCH("selection",LOWER(Z$2:Z$1000)))*ISNUMBER(SEARCH(LOWER("quantum"),LOWER(AB$2:AB$1000))))</f>
        <v>0</v>
      </c>
      <c r="HJ30" cm="1">
        <f t="array" ref="HJ30">SUMPRODUCT((Y$2:Y$1000="PS")*(F$2:F$1000=GZ30)*ISNUMBER(SEARCH("selection",LOWER(Z$2:Z$1000)))*ISNUMBER(SEARCH(LOWER("genetic"),LOWER(AB$2:AB$1000))))</f>
        <v>0</v>
      </c>
      <c r="HK30" cm="1">
        <f t="array" ref="HK30">SUMPRODUCT((Y$2:Y$1000="PS")*(F$2:F$1000=GZ30)*ISNUMBER(SEARCH("selection",LOWER(Z$2:Z$1000)))*ISNUMBER(SEARCH(LOWER("graph"),LOWER(AB$2:AB$1000))))</f>
        <v>0</v>
      </c>
      <c r="HL30" cm="1">
        <f t="array" ref="HL30">SUMPRODUCT((Y$2:Y$1000="PS")*(F$2:F$1000=GZ30)*ISNUMBER(SEARCH("selection",LOWER(Z$2:Z$1000)))*ISNUMBER(SEARCH(LOWER("greedy"),LOWER(AB$2:AB$1000))))</f>
        <v>0</v>
      </c>
      <c r="HM30" cm="1">
        <f t="array" ref="HM30">SUMPRODUCT((Y$2:Y$1000="PS")*(F$2:F$1000=GZ30)*ISNUMBER(SEARCH("selection",LOWER(Z$2:Z$1000)))*ISNUMBER(SEARCH(LOWER("dynamic"),LOWER(AB$2:AB$1000))))</f>
        <v>0</v>
      </c>
    </row>
    <row r="31" spans="1:221" ht="409.6">
      <c r="A31" s="2">
        <v>7091286</v>
      </c>
      <c r="B31" s="2" t="s">
        <v>34</v>
      </c>
      <c r="C31" s="2" t="s">
        <v>412</v>
      </c>
      <c r="D31" s="2" t="s">
        <v>413</v>
      </c>
      <c r="E31" s="2" t="s">
        <v>414</v>
      </c>
      <c r="F31" s="2">
        <v>2014</v>
      </c>
      <c r="G31" s="2">
        <v>1</v>
      </c>
      <c r="H31" s="2"/>
      <c r="I31" s="2" t="s">
        <v>415</v>
      </c>
      <c r="J31" s="2" t="s">
        <v>416</v>
      </c>
      <c r="K31" s="2" t="s">
        <v>417</v>
      </c>
      <c r="L31" s="2" t="s">
        <v>418</v>
      </c>
      <c r="M31" s="2" t="s">
        <v>419</v>
      </c>
      <c r="N31" s="2" t="s">
        <v>167</v>
      </c>
      <c r="O31" s="2"/>
      <c r="P31" s="2"/>
      <c r="Q31" s="2"/>
      <c r="R31" s="2"/>
      <c r="S31" s="2"/>
      <c r="T31" s="2"/>
      <c r="U31" s="2"/>
      <c r="V31" s="2"/>
      <c r="W31" s="2"/>
      <c r="X31" s="2" t="s">
        <v>420</v>
      </c>
      <c r="Y31" s="2" t="s">
        <v>58</v>
      </c>
      <c r="Z31" s="2" t="s">
        <v>407</v>
      </c>
      <c r="AA31" s="2" t="s">
        <v>114</v>
      </c>
      <c r="AB31" s="2" t="s">
        <v>271</v>
      </c>
      <c r="AC31" s="2" t="s">
        <v>208</v>
      </c>
      <c r="AD31" s="2" t="s">
        <v>421</v>
      </c>
      <c r="AE31" s="2" t="s">
        <v>422</v>
      </c>
      <c r="AF31" s="2" t="s">
        <v>423</v>
      </c>
      <c r="AG31" s="2" t="s">
        <v>424</v>
      </c>
      <c r="AH31" s="2">
        <v>0.5</v>
      </c>
      <c r="AK31">
        <f t="shared" si="6"/>
        <v>1</v>
      </c>
      <c r="AL31">
        <f t="shared" si="0"/>
        <v>0</v>
      </c>
      <c r="AM31">
        <f t="shared" si="1"/>
        <v>0</v>
      </c>
      <c r="AN31">
        <f t="shared" si="2"/>
        <v>1</v>
      </c>
      <c r="FQ31" t="s">
        <v>1293</v>
      </c>
      <c r="FR31" s="35" cm="1">
        <f t="array" ref="FR31">SUMPRODUCT((Y$2:Y$1000="PS")*ISNUMBER(SEARCH(LOWER(FQ31),LOWER(AA$2:AA$1000)))*ISNUMBER(SEARCH("selection",LOWER(Z$2:Z$1000))))</f>
        <v>0</v>
      </c>
      <c r="GZ31">
        <v>2024</v>
      </c>
      <c r="HA31" cm="1">
        <f t="array" ref="HA31">SUMPRODUCT((Y$2:Y$1000="PS")*(F$2:F$1000=GZ31)*ISNUMBER(SEARCH("selection",LOWER(Z$2:Z$1000)))*ISNUMBER(SEARCH(LOWER("metaheuristic"),LOWER(AB$2:AB$1000))))</f>
        <v>0</v>
      </c>
      <c r="HB31" cm="1">
        <f t="array" ref="HB31">SUMPRODUCT((Y$2:Y$1000="PS")*(F$2:F$1000=GZ31)*ISNUMBER(SEARCH("selection",LOWER(Z$2:Z$1000)))*ISNUMBER(SEARCH(LOWER("search"),LOWER(AB$2:AB$1000))))</f>
        <v>0</v>
      </c>
      <c r="HC31" cm="1">
        <f t="array" ref="HC31">SUMPRODUCT((Y$2:Y$1000="PS")*(F$2:F$1000=GZ31)*ISNUMBER(SEARCH("selection",LOWER(Z$2:Z$1000)))*ISNUMBER(SEARCH(LOWER("heuristic"),LOWER(AB$2:AB$1000))))</f>
        <v>1</v>
      </c>
      <c r="HD31" cm="1">
        <f t="array" ref="HD31">SUMPRODUCT((Y$2:Y$1000="PS")*(F$2:F$1000=GZ31)*ISNUMBER(SEARCH("selection",LOWER(Z$2:Z$1000)))*ISNUMBER(SEARCH(LOWER("ml"),LOWER(AB$2:AB$1000))))</f>
        <v>0</v>
      </c>
      <c r="HE31" cm="1">
        <f t="array" ref="HE31">SUMPRODUCT((Y$2:Y$1000="PS")*(F$2:F$1000=GZ31)*ISNUMBER(SEARCH("selection",LOWER(Z$2:Z$1000)))*ISNUMBER(SEARCH(LOWER("rule"),LOWER(AB$2:AB$1000))))</f>
        <v>0</v>
      </c>
      <c r="HF31" cm="1">
        <f t="array" ref="HF31">SUMPRODUCT((Y$2:Y$1000="PS")*(F$2:F$1000=GZ31)*ISNUMBER(SEARCH("selection",LOWER(Z$2:Z$1000)))*ISNUMBER(SEARCH(LOWER("similarity"),LOWER(AB$2:AB$1000))))</f>
        <v>0</v>
      </c>
      <c r="HG31" cm="1">
        <f t="array" ref="HG31">SUMPRODUCT((Y$2:Y$1000="PS")*(F$2:F$1000=GZ31)*ISNUMBER(SEARCH("selection",LOWER(Z$2:Z$1000)))*ISNUMBER(SEARCH(LOWER("model"),LOWER(AB$2:AB$1000))))</f>
        <v>0</v>
      </c>
      <c r="HH31" cm="1">
        <f t="array" ref="HH31">SUMPRODUCT((Y$2:Y$1000="PS")*(F$2:F$1000=GZ31)*ISNUMBER(SEARCH("selection",LOWER(Z$2:Z$1000)))*ISNUMBER(SEARCH(LOWER("dependency"),LOWER(AB$2:AB$1000))))</f>
        <v>0</v>
      </c>
      <c r="HI31" cm="1">
        <f t="array" ref="HI31">SUMPRODUCT((Y$2:Y$1000="PS")*(F$2:F$1000=GZ31)*ISNUMBER(SEARCH("selection",LOWER(Z$2:Z$1000)))*ISNUMBER(SEARCH(LOWER("quantum"),LOWER(AB$2:AB$1000))))</f>
        <v>0</v>
      </c>
      <c r="HJ31" cm="1">
        <f t="array" ref="HJ31">SUMPRODUCT((Y$2:Y$1000="PS")*(F$2:F$1000=GZ31)*ISNUMBER(SEARCH("selection",LOWER(Z$2:Z$1000)))*ISNUMBER(SEARCH(LOWER("genetic"),LOWER(AB$2:AB$1000))))</f>
        <v>0</v>
      </c>
      <c r="HK31" cm="1">
        <f t="array" ref="HK31">SUMPRODUCT((Y$2:Y$1000="PS")*(F$2:F$1000=GZ31)*ISNUMBER(SEARCH("selection",LOWER(Z$2:Z$1000)))*ISNUMBER(SEARCH(LOWER("graph"),LOWER(AB$2:AB$1000))))</f>
        <v>0</v>
      </c>
      <c r="HL31" cm="1">
        <f t="array" ref="HL31">SUMPRODUCT((Y$2:Y$1000="PS")*(F$2:F$1000=GZ31)*ISNUMBER(SEARCH("selection",LOWER(Z$2:Z$1000)))*ISNUMBER(SEARCH(LOWER("greedy"),LOWER(AB$2:AB$1000))))</f>
        <v>0</v>
      </c>
      <c r="HM31" cm="1">
        <f t="array" ref="HM31">SUMPRODUCT((Y$2:Y$1000="PS")*(F$2:F$1000=GZ31)*ISNUMBER(SEARCH("selection",LOWER(Z$2:Z$1000)))*ISNUMBER(SEARCH(LOWER("dynamic"),LOWER(AB$2:AB$1000))))</f>
        <v>0</v>
      </c>
    </row>
    <row r="32" spans="1:221" ht="409.6">
      <c r="A32" s="2">
        <v>10336260</v>
      </c>
      <c r="B32" s="2" t="s">
        <v>34</v>
      </c>
      <c r="C32" s="2" t="s">
        <v>425</v>
      </c>
      <c r="D32" s="2" t="s">
        <v>426</v>
      </c>
      <c r="E32" s="2" t="s">
        <v>427</v>
      </c>
      <c r="F32" s="2">
        <v>2023</v>
      </c>
      <c r="G32" s="2"/>
      <c r="H32" s="2"/>
      <c r="I32" s="2" t="s">
        <v>428</v>
      </c>
      <c r="J32" s="2" t="s">
        <v>429</v>
      </c>
      <c r="K32" s="2" t="s">
        <v>430</v>
      </c>
      <c r="L32" s="2" t="s">
        <v>431</v>
      </c>
      <c r="M32" s="2" t="s">
        <v>352</v>
      </c>
      <c r="N32" s="2" t="s">
        <v>393</v>
      </c>
      <c r="O32" s="2"/>
      <c r="P32" s="2"/>
      <c r="Q32" s="2"/>
      <c r="R32" s="2"/>
      <c r="S32" s="2"/>
      <c r="T32" s="2"/>
      <c r="U32" s="2"/>
      <c r="V32" s="2"/>
      <c r="W32" s="2"/>
      <c r="X32" s="2" t="s">
        <v>432</v>
      </c>
      <c r="Y32" s="2" t="s">
        <v>58</v>
      </c>
      <c r="Z32" s="2" t="s">
        <v>304</v>
      </c>
      <c r="AA32" s="2" t="s">
        <v>114</v>
      </c>
      <c r="AB32" s="2" t="s">
        <v>271</v>
      </c>
      <c r="AC32" s="2" t="s">
        <v>433</v>
      </c>
      <c r="AD32" s="2" t="s">
        <v>434</v>
      </c>
      <c r="AE32" s="2" t="s">
        <v>435</v>
      </c>
      <c r="AF32" s="2" t="s">
        <v>436</v>
      </c>
      <c r="AG32" s="2" t="s">
        <v>437</v>
      </c>
      <c r="AH32" s="2">
        <v>1</v>
      </c>
      <c r="AK32">
        <f t="shared" si="6"/>
        <v>1</v>
      </c>
      <c r="AL32">
        <f t="shared" si="0"/>
        <v>0</v>
      </c>
      <c r="AM32">
        <f t="shared" si="1"/>
        <v>0</v>
      </c>
      <c r="AN32">
        <f t="shared" si="2"/>
        <v>1</v>
      </c>
      <c r="FQ32" t="s">
        <v>1294</v>
      </c>
      <c r="FR32" s="35" cm="1">
        <f t="array" ref="FR32">SUMPRODUCT((Y$2:Y$1000="PS")*ISNUMBER(SEARCH(LOWER(FQ32),LOWER(AA$2:AA$1000)))*ISNUMBER(SEARCH("selection",LOWER(Z$2:Z$1000))))</f>
        <v>0</v>
      </c>
      <c r="GZ32">
        <v>2025</v>
      </c>
      <c r="HA32" cm="1">
        <f t="array" ref="HA32">SUMPRODUCT((Y$2:Y$1000="PS")*(F$2:F$1000=GZ32)*ISNUMBER(SEARCH("selection",LOWER(Z$2:Z$1000)))*ISNUMBER(SEARCH(LOWER("metaheuristic"),LOWER(AB$2:AB$1000))))</f>
        <v>0</v>
      </c>
      <c r="HB32" cm="1">
        <f t="array" ref="HB32">SUMPRODUCT((Y$2:Y$1000="PS")*(F$2:F$1000=GZ32)*ISNUMBER(SEARCH("selection",LOWER(Z$2:Z$1000)))*ISNUMBER(SEARCH(LOWER("search"),LOWER(AB$2:AB$1000))))</f>
        <v>0</v>
      </c>
      <c r="HC32" cm="1">
        <f t="array" ref="HC32">SUMPRODUCT((Y$2:Y$1000="PS")*(F$2:F$1000=GZ32)*ISNUMBER(SEARCH("selection",LOWER(Z$2:Z$1000)))*ISNUMBER(SEARCH(LOWER("heuristic"),LOWER(AB$2:AB$1000))))</f>
        <v>0</v>
      </c>
      <c r="HD32" cm="1">
        <f t="array" ref="HD32">SUMPRODUCT((Y$2:Y$1000="PS")*(F$2:F$1000=GZ32)*ISNUMBER(SEARCH("selection",LOWER(Z$2:Z$1000)))*ISNUMBER(SEARCH(LOWER("ml"),LOWER(AB$2:AB$1000))))</f>
        <v>0</v>
      </c>
      <c r="HE32" cm="1">
        <f t="array" ref="HE32">SUMPRODUCT((Y$2:Y$1000="PS")*(F$2:F$1000=GZ32)*ISNUMBER(SEARCH("selection",LOWER(Z$2:Z$1000)))*ISNUMBER(SEARCH(LOWER("rule"),LOWER(AB$2:AB$1000))))</f>
        <v>0</v>
      </c>
      <c r="HF32" cm="1">
        <f t="array" ref="HF32">SUMPRODUCT((Y$2:Y$1000="PS")*(F$2:F$1000=GZ32)*ISNUMBER(SEARCH("selection",LOWER(Z$2:Z$1000)))*ISNUMBER(SEARCH(LOWER("similarity"),LOWER(AB$2:AB$1000))))</f>
        <v>0</v>
      </c>
      <c r="HG32" cm="1">
        <f t="array" ref="HG32">SUMPRODUCT((Y$2:Y$1000="PS")*(F$2:F$1000=GZ32)*ISNUMBER(SEARCH("selection",LOWER(Z$2:Z$1000)))*ISNUMBER(SEARCH(LOWER("model"),LOWER(AB$2:AB$1000))))</f>
        <v>0</v>
      </c>
      <c r="HH32" cm="1">
        <f t="array" ref="HH32">SUMPRODUCT((Y$2:Y$1000="PS")*(F$2:F$1000=GZ32)*ISNUMBER(SEARCH("selection",LOWER(Z$2:Z$1000)))*ISNUMBER(SEARCH(LOWER("dependency"),LOWER(AB$2:AB$1000))))</f>
        <v>0</v>
      </c>
      <c r="HI32" cm="1">
        <f t="array" ref="HI32">SUMPRODUCT((Y$2:Y$1000="PS")*(F$2:F$1000=GZ32)*ISNUMBER(SEARCH("selection",LOWER(Z$2:Z$1000)))*ISNUMBER(SEARCH(LOWER("quantum"),LOWER(AB$2:AB$1000))))</f>
        <v>0</v>
      </c>
      <c r="HJ32" cm="1">
        <f t="array" ref="HJ32">SUMPRODUCT((Y$2:Y$1000="PS")*(F$2:F$1000=GZ32)*ISNUMBER(SEARCH("selection",LOWER(Z$2:Z$1000)))*ISNUMBER(SEARCH(LOWER("genetic"),LOWER(AB$2:AB$1000))))</f>
        <v>0</v>
      </c>
      <c r="HK32" cm="1">
        <f t="array" ref="HK32">SUMPRODUCT((Y$2:Y$1000="PS")*(F$2:F$1000=GZ32)*ISNUMBER(SEARCH("selection",LOWER(Z$2:Z$1000)))*ISNUMBER(SEARCH(LOWER("graph"),LOWER(AB$2:AB$1000))))</f>
        <v>1</v>
      </c>
      <c r="HL32" cm="1">
        <f t="array" ref="HL32">SUMPRODUCT((Y$2:Y$1000="PS")*(F$2:F$1000=GZ32)*ISNUMBER(SEARCH("selection",LOWER(Z$2:Z$1000)))*ISNUMBER(SEARCH(LOWER("greedy"),LOWER(AB$2:AB$1000))))</f>
        <v>0</v>
      </c>
      <c r="HM32" cm="1">
        <f t="array" ref="HM32">SUMPRODUCT((Y$2:Y$1000="PS")*(F$2:F$1000=GZ32)*ISNUMBER(SEARCH("selection",LOWER(Z$2:Z$1000)))*ISNUMBER(SEARCH(LOWER("dynamic"),LOWER(AB$2:AB$1000))))</f>
        <v>0</v>
      </c>
    </row>
    <row r="33" spans="1:221" ht="409.6">
      <c r="A33" s="2">
        <v>10304799</v>
      </c>
      <c r="B33" s="2" t="s">
        <v>34</v>
      </c>
      <c r="C33" s="2" t="s">
        <v>438</v>
      </c>
      <c r="D33" s="2" t="s">
        <v>439</v>
      </c>
      <c r="E33" s="2" t="s">
        <v>440</v>
      </c>
      <c r="F33" s="2">
        <v>2023</v>
      </c>
      <c r="G33" s="2"/>
      <c r="H33" s="2"/>
      <c r="I33" s="2" t="s">
        <v>441</v>
      </c>
      <c r="J33" s="2" t="s">
        <v>442</v>
      </c>
      <c r="K33" s="2" t="s">
        <v>443</v>
      </c>
      <c r="L33" s="2" t="s">
        <v>444</v>
      </c>
      <c r="M33" s="2"/>
      <c r="N33" s="2" t="s">
        <v>393</v>
      </c>
      <c r="O33" s="2"/>
      <c r="P33" s="2"/>
      <c r="Q33" s="2"/>
      <c r="R33" s="2"/>
      <c r="S33" s="2"/>
      <c r="T33" s="2"/>
      <c r="U33" s="2"/>
      <c r="V33" s="2"/>
      <c r="W33" s="2"/>
      <c r="X33" s="2" t="s">
        <v>445</v>
      </c>
      <c r="Y33" s="2" t="s">
        <v>58</v>
      </c>
      <c r="Z33" s="2" t="s">
        <v>1018</v>
      </c>
      <c r="AA33" s="2"/>
      <c r="AB33" s="2"/>
      <c r="AC33" s="2"/>
      <c r="AD33" s="2"/>
      <c r="AE33" s="2"/>
      <c r="AF33" s="2"/>
      <c r="AG33" s="2"/>
      <c r="AH33" s="2"/>
      <c r="AK33">
        <f t="shared" si="6"/>
        <v>1</v>
      </c>
      <c r="AL33">
        <f t="shared" si="0"/>
        <v>0</v>
      </c>
      <c r="AM33">
        <f t="shared" si="1"/>
        <v>1</v>
      </c>
      <c r="AN33">
        <f t="shared" si="2"/>
        <v>0</v>
      </c>
      <c r="EQ33">
        <f>SUM(EN33:EP33)</f>
        <v>0</v>
      </c>
      <c r="FQ33" t="s">
        <v>1295</v>
      </c>
      <c r="FR33" s="35" cm="1">
        <f t="array" ref="FR33">SUMPRODUCT((Y$2:Y$1000="PS")*ISNUMBER(SEARCH(LOWER(FQ33),LOWER(AA$2:AA$1000)))*ISNUMBER(SEARCH("selection",LOWER(Z$2:Z$1000))))</f>
        <v>0</v>
      </c>
    </row>
    <row r="34" spans="1:221" ht="409.6">
      <c r="A34" s="2">
        <v>10011478</v>
      </c>
      <c r="B34" s="2" t="s">
        <v>34</v>
      </c>
      <c r="C34" s="2" t="s">
        <v>446</v>
      </c>
      <c r="D34" s="2" t="s">
        <v>447</v>
      </c>
      <c r="E34" s="2" t="s">
        <v>448</v>
      </c>
      <c r="F34" s="2">
        <v>2022</v>
      </c>
      <c r="G34" s="2"/>
      <c r="H34" s="2"/>
      <c r="I34" s="2" t="s">
        <v>449</v>
      </c>
      <c r="J34" s="2" t="s">
        <v>450</v>
      </c>
      <c r="K34" s="2" t="s">
        <v>451</v>
      </c>
      <c r="L34" s="2" t="s">
        <v>452</v>
      </c>
      <c r="M34" s="2"/>
      <c r="N34" s="2" t="s">
        <v>231</v>
      </c>
      <c r="O34" s="2"/>
      <c r="P34" s="2"/>
      <c r="Q34" s="2"/>
      <c r="R34" s="2"/>
      <c r="S34" s="2"/>
      <c r="T34" s="2"/>
      <c r="U34" s="2"/>
      <c r="V34" s="2"/>
      <c r="W34" s="2"/>
      <c r="X34" s="2" t="s">
        <v>453</v>
      </c>
      <c r="Y34" s="2" t="s">
        <v>58</v>
      </c>
      <c r="Z34" s="2" t="s">
        <v>220</v>
      </c>
      <c r="AA34" s="2" t="s">
        <v>408</v>
      </c>
      <c r="AB34" s="2" t="s">
        <v>1383</v>
      </c>
      <c r="AC34" s="2" t="s">
        <v>115</v>
      </c>
      <c r="AD34" s="2" t="s">
        <v>455</v>
      </c>
      <c r="AE34" s="2" t="s">
        <v>456</v>
      </c>
      <c r="AF34" s="2" t="s">
        <v>457</v>
      </c>
      <c r="AG34" s="2" t="s">
        <v>424</v>
      </c>
      <c r="AH34" s="2">
        <v>0.5</v>
      </c>
      <c r="AK34">
        <f t="shared" si="6"/>
        <v>1</v>
      </c>
      <c r="AL34">
        <f t="shared" si="0"/>
        <v>0</v>
      </c>
      <c r="AM34">
        <f t="shared" si="1"/>
        <v>0</v>
      </c>
      <c r="AN34">
        <f t="shared" si="2"/>
        <v>1</v>
      </c>
      <c r="FQ34" t="s">
        <v>1296</v>
      </c>
      <c r="FR34" s="35" cm="1">
        <f t="array" ref="FR34">SUMPRODUCT((Y$2:Y$1000="PS")*ISNUMBER(SEARCH(LOWER(FQ34),LOWER(AA$2:AA$1000)))*ISNUMBER(SEARCH("selection",LOWER(Z$2:Z$1000))))</f>
        <v>4</v>
      </c>
    </row>
    <row r="35" spans="1:221" ht="115.2">
      <c r="C35" t="s">
        <v>458</v>
      </c>
      <c r="D35" t="s">
        <v>459</v>
      </c>
      <c r="E35" t="s">
        <v>460</v>
      </c>
      <c r="F35">
        <v>2022</v>
      </c>
      <c r="J35" t="s">
        <v>461</v>
      </c>
      <c r="Y35" t="s">
        <v>58</v>
      </c>
      <c r="Z35" s="6" t="s">
        <v>462</v>
      </c>
      <c r="AA35" s="7" t="s">
        <v>142</v>
      </c>
      <c r="AB35" s="7" t="s">
        <v>463</v>
      </c>
      <c r="AC35" s="6"/>
      <c r="AD35" s="7" t="s">
        <v>464</v>
      </c>
      <c r="AE35" s="6" t="s">
        <v>465</v>
      </c>
      <c r="AF35" s="7" t="s">
        <v>466</v>
      </c>
      <c r="AG35" s="7" t="s">
        <v>467</v>
      </c>
      <c r="AH35" s="6">
        <v>1</v>
      </c>
      <c r="AK35">
        <f t="shared" si="6"/>
        <v>1</v>
      </c>
      <c r="AL35">
        <f t="shared" si="0"/>
        <v>0</v>
      </c>
      <c r="AM35">
        <f t="shared" si="1"/>
        <v>0</v>
      </c>
      <c r="AN35">
        <f t="shared" si="2"/>
        <v>1</v>
      </c>
      <c r="FQ35" t="s">
        <v>1297</v>
      </c>
      <c r="FR35" s="35" cm="1">
        <f t="array" ref="FR35">SUMPRODUCT((Y$2:Y$1000="PS")*ISNUMBER(SEARCH(LOWER(FQ35),LOWER(AA$2:AA$1000)))*ISNUMBER(SEARCH("selection",LOWER(Z$2:Z$1000))))</f>
        <v>0</v>
      </c>
      <c r="FV35" t="s">
        <v>1308</v>
      </c>
    </row>
    <row r="36" spans="1:221" ht="409.6">
      <c r="C36" t="s">
        <v>468</v>
      </c>
      <c r="D36" t="s">
        <v>469</v>
      </c>
      <c r="E36" t="s">
        <v>470</v>
      </c>
      <c r="F36">
        <v>2018</v>
      </c>
      <c r="J36" t="s">
        <v>471</v>
      </c>
      <c r="Y36" t="s">
        <v>58</v>
      </c>
      <c r="Z36" s="6" t="s">
        <v>472</v>
      </c>
      <c r="AA36" s="7" t="s">
        <v>1367</v>
      </c>
      <c r="AB36" s="7" t="s">
        <v>1371</v>
      </c>
      <c r="AC36" s="8"/>
      <c r="AD36" s="6" t="s">
        <v>473</v>
      </c>
      <c r="AE36" s="6" t="s">
        <v>474</v>
      </c>
      <c r="AF36" s="7" t="s">
        <v>475</v>
      </c>
      <c r="AG36" s="7" t="s">
        <v>476</v>
      </c>
      <c r="AH36" s="7">
        <v>0.5</v>
      </c>
      <c r="AK36">
        <f t="shared" si="6"/>
        <v>1</v>
      </c>
      <c r="AL36">
        <f t="shared" si="0"/>
        <v>0</v>
      </c>
      <c r="AM36">
        <f t="shared" si="1"/>
        <v>1</v>
      </c>
      <c r="AN36">
        <f t="shared" si="2"/>
        <v>0</v>
      </c>
      <c r="FQ36" t="s">
        <v>1298</v>
      </c>
      <c r="FR36" s="35" cm="1">
        <f t="array" ref="FR36">SUMPRODUCT((Y$2:Y$1000="PS")*ISNUMBER(SEARCH(LOWER(FQ36),LOWER(AA$2:AA$1000)))*ISNUMBER(SEARCH("selection",LOWER(Z$2:Z$1000))))</f>
        <v>0</v>
      </c>
      <c r="FV36" t="s">
        <v>1306</v>
      </c>
      <c r="FW36" t="s">
        <v>1326</v>
      </c>
      <c r="FX36" t="s">
        <v>1327</v>
      </c>
      <c r="FY36" t="s">
        <v>1328</v>
      </c>
      <c r="FZ36" t="s">
        <v>1329</v>
      </c>
      <c r="GA36" t="s">
        <v>868</v>
      </c>
      <c r="GB36" t="s">
        <v>1330</v>
      </c>
      <c r="GC36" t="s">
        <v>1331</v>
      </c>
      <c r="GD36" t="s">
        <v>1332</v>
      </c>
      <c r="GE36" t="s">
        <v>1333</v>
      </c>
      <c r="GF36" t="s">
        <v>1334</v>
      </c>
      <c r="GG36" t="s">
        <v>1335</v>
      </c>
      <c r="GH36" t="s">
        <v>1325</v>
      </c>
      <c r="GI36" t="s">
        <v>1336</v>
      </c>
      <c r="GJ36" t="s">
        <v>1337</v>
      </c>
      <c r="GK36" t="s">
        <v>1338</v>
      </c>
      <c r="GL36" t="s">
        <v>408</v>
      </c>
      <c r="GM36" t="s">
        <v>454</v>
      </c>
      <c r="GN36" t="s">
        <v>60</v>
      </c>
      <c r="GO36" t="s">
        <v>1339</v>
      </c>
      <c r="GP36" t="s">
        <v>1321</v>
      </c>
      <c r="GQ36" t="s">
        <v>1322</v>
      </c>
      <c r="GR36" t="s">
        <v>966</v>
      </c>
      <c r="GZ36" t="s">
        <v>1306</v>
      </c>
      <c r="HA36" t="s">
        <v>1310</v>
      </c>
      <c r="HB36" t="s">
        <v>1283</v>
      </c>
      <c r="HC36" t="s">
        <v>1282</v>
      </c>
      <c r="HD36" t="s">
        <v>1281</v>
      </c>
      <c r="HE36" t="s">
        <v>1311</v>
      </c>
      <c r="HF36" t="s">
        <v>1277</v>
      </c>
      <c r="HG36" t="s">
        <v>1275</v>
      </c>
      <c r="HH36" t="s">
        <v>1312</v>
      </c>
      <c r="HI36" t="s">
        <v>1313</v>
      </c>
      <c r="HJ36" t="s">
        <v>1314</v>
      </c>
      <c r="HK36" t="s">
        <v>1292</v>
      </c>
      <c r="HL36" t="s">
        <v>1315</v>
      </c>
      <c r="HM36" t="s">
        <v>1291</v>
      </c>
    </row>
    <row r="37" spans="1:221" ht="100.8">
      <c r="C37" t="s">
        <v>477</v>
      </c>
      <c r="D37" t="s">
        <v>478</v>
      </c>
      <c r="E37" t="s">
        <v>479</v>
      </c>
      <c r="F37">
        <v>2016</v>
      </c>
      <c r="J37" t="s">
        <v>480</v>
      </c>
      <c r="Y37" t="s">
        <v>58</v>
      </c>
      <c r="Z37" s="6" t="s">
        <v>481</v>
      </c>
      <c r="AA37" s="7" t="s">
        <v>408</v>
      </c>
      <c r="AB37" s="7" t="s">
        <v>787</v>
      </c>
      <c r="AC37" s="7" t="s">
        <v>115</v>
      </c>
      <c r="AD37" s="7" t="s">
        <v>482</v>
      </c>
      <c r="AE37" s="6" t="s">
        <v>483</v>
      </c>
      <c r="AF37" s="7" t="s">
        <v>484</v>
      </c>
      <c r="AG37" s="7" t="s">
        <v>485</v>
      </c>
      <c r="AH37" s="7">
        <v>1</v>
      </c>
      <c r="AK37">
        <f t="shared" si="6"/>
        <v>1</v>
      </c>
      <c r="AL37">
        <f t="shared" si="0"/>
        <v>0</v>
      </c>
      <c r="AM37">
        <f t="shared" si="1"/>
        <v>0</v>
      </c>
      <c r="AN37">
        <f t="shared" si="2"/>
        <v>1</v>
      </c>
      <c r="FQ37" t="s">
        <v>1286</v>
      </c>
      <c r="FR37" s="35" cm="1">
        <f t="array" ref="FR37">SUMPRODUCT((Y$2:Y$1000="PS")*ISNUMBER(SEARCH(LOWER(FQ37),LOWER(AA$2:AA$1000)))*ISNUMBER(SEARCH("selection",LOWER(Z$2:Z$1000))))</f>
        <v>2</v>
      </c>
      <c r="FV37">
        <v>2013</v>
      </c>
      <c r="FW37" s="35" cm="1">
        <f t="array" ref="FW37">SUMPRODUCT((Y$2:Y$1000="PS")*(F$2:F$1000=FV37)*ISNUMBER(SEARCH("selection",LOWER(Z$2:Z$1000)))*ISNUMBER(SEARCH("integer",LOWER(AA$2:AA$1000))))</f>
        <v>0</v>
      </c>
      <c r="FX37" cm="1">
        <f t="array" ref="FX37">SUMPRODUCT((Y$2:Y$1000="PS")*(F$2:F$1000=FV37)*ISNUMBER(SEARCH("selection",LOWER(Z$2:Z$1000)))*ISNUMBER(SEARCH("data-flow",LOWER(AA$2:AA$1000))))</f>
        <v>0</v>
      </c>
      <c r="FY37" cm="1">
        <f t="array" ref="FY37">SUMPRODUCT((Y$2:Y$1000="PS")*(F$2:F$1000=FV37)*ISNUMBER(SEARCH("selection",LOWER(Z$2:Z$1000)))*ISNUMBER(SEARCH("symbolic",LOWER(AA$2:AA$1000))))</f>
        <v>0</v>
      </c>
      <c r="FZ37" cm="1">
        <f t="array" ref="FZ37">SUMPRODUCT((Y$2:Y$1000="PS")*(F$2:F$1000=FV37)*ISNUMBER(SEARCH("selection",LOWER(Z$2:Z$1000)))*ISNUMBER(SEARCH("dynamyc",LOWER(AA$2:AA$1000))))</f>
        <v>0</v>
      </c>
      <c r="GA37" cm="1">
        <f t="array" ref="GA37">SUMPRODUCT((Y$2:Y$1000="PS")*(F$2:F$1000=FV37)*ISNUMBER(SEARCH("selection",LOWER(Z$2:Z$1000)))*ISNUMBER(SEARCH("graph",LOWER(AA$2:AA$1000))))</f>
        <v>0</v>
      </c>
      <c r="GB37" cm="1">
        <f t="array" ref="GB37">SUMPRODUCT((Y$2:Y$1000="PS")*(F$2:F$1000=FV37)*ISNUMBER(SEARCH("selection",LOWER(Z$2:Z$1000)))*ISNUMBER(SEARCH("textual",LOWER(AA$2:AA$1000))))</f>
        <v>0</v>
      </c>
      <c r="GC37" cm="1">
        <f t="array" ref="GC37">SUMPRODUCT((Y$2:Y$1000="PS")*(F$2:F$1000=FV37)*ISNUMBER(SEARCH("selection",LOWER(Z$2:Z$1000)))*ISNUMBER(SEARCH("sdg",LOWER(AA$2:AA$1000))))</f>
        <v>0</v>
      </c>
      <c r="GD37" cm="1">
        <f t="array" ref="GD37">SUMPRODUCT((Y$2:Y$1000="PS")*(F$2:F$1000=FV37)*ISNUMBER(SEARCH("selection",LOWER(Z$2:Z$1000)))*ISNUMBER(SEARCH("path",LOWER(AA$2:AA$1000))))</f>
        <v>0</v>
      </c>
      <c r="GE37" cm="1">
        <f t="array" ref="GE37">SUMPRODUCT((Y$2:Y$1000="PS")*(F$2:F$1000=FV37)*ISNUMBER(SEARCH("selection",LOWER(Z$2:Z$1000)))*ISNUMBER(SEARCH("mod",LOWER(AA$2:AA$1000))))</f>
        <v>1</v>
      </c>
      <c r="GF37" cm="1">
        <f t="array" ref="GF37">SUMPRODUCT((Y$2:Y$1000="PS")*(F$2:F$1000=FV37)*ISNUMBER(SEARCH("selection",LOWER(Z$2:Z$1000)))*ISNUMBER(SEARCH("firewall",LOWER(AA$2:AA$1000))))</f>
        <v>0</v>
      </c>
      <c r="GG37" cm="1">
        <f t="array" ref="GG37">SUMPRODUCT((Y$2:Y$1000="PS")*(F$2:F$1000=FV37)*ISNUMBER(SEARCH("selection",LOWER(Z$2:Z$1000)))*ISNUMBER(SEARCH("cluster",LOWER(AA$2:AA$1000))))</f>
        <v>0</v>
      </c>
      <c r="GH37" cm="1">
        <f t="array" ref="GH37">SUMPRODUCT((Y$2:Y$1000="PS")*(F$2:F$1000=FV37)*ISNUMBER(SEARCH("selection",LOWER(Z$2:Z$1000)))*ISNUMBER(SEARCH("design",LOWER(AA$2:AA$1000))))</f>
        <v>0</v>
      </c>
      <c r="GI37" cm="1">
        <f t="array" ref="GI37">SUMPRODUCT((Y$2:Y$1000="PS")*(F$2:F$1000=FV37)*ISNUMBER(SEARCH("selection",LOWER(Z$2:Z$1000)))*ISNUMBER(SEARCH("hybrid",LOWER(AA$2:AA$1000))))</f>
        <v>0</v>
      </c>
      <c r="GJ37" cm="1">
        <f t="array" ref="GJ37">SUMPRODUCT((Y$2:Y$1000="PS")*(F$2:F$1000=FV37)*ISNUMBER(SEARCH("selection",LOWER(Z$2:Z$1000)))*ISNUMBER(SEARCH("selection",LOWER(AA$2:AA$1000))))</f>
        <v>0</v>
      </c>
      <c r="GK37" cm="1">
        <f t="array" ref="GK37">SUMPRODUCT((Y$2:Y$1000="PS")*(F$2:F$1000=FV37)*ISNUMBER(SEARCH("selection",LOWER(Z$2:Z$1000)))*ISNUMBER(SEARCH("detection",LOWER(AA$2:AA$1000))))</f>
        <v>0</v>
      </c>
      <c r="GL37" cm="1">
        <f t="array" ref="GL37">SUMPRODUCT((Y$2:Y$1000="PS")*(F$2:F$1000=FV37)*ISNUMBER(SEARCH("selection",LOWER(Z$2:Z$1000)))*ISNUMBER(SEARCH("coverage",LOWER(AA$2:AA$1000))))</f>
        <v>0</v>
      </c>
      <c r="GM37" cm="1">
        <f t="array" ref="GM37">SUMPRODUCT((Y$2:Y$1000="PS")*(F$2:F$1000=FV37)*ISNUMBER(SEARCH("selection",LOWER(Z$2:Z$1000)))*ISNUMBER(SEARCH("change",LOWER(AA$2:AA$1000))))</f>
        <v>0</v>
      </c>
      <c r="GN37" cm="1">
        <f t="array" ref="GN37">SUMPRODUCT((Y$2:Y$1000="PS")*(F$2:F$1000=FV37)*ISNUMBER(SEARCH("selection",LOWER(Z$2:Z$1000)))*ISNUMBER(SEARCH("model",LOWER(AA$2:AA$1000))))</f>
        <v>0</v>
      </c>
      <c r="GO37" cm="1">
        <f t="array" ref="GO37">SUMPRODUCT((Y$2:Y$1000="PS")*(F$2:F$1000=$FV3)*ISNUMBER(SEARCH("prioritization",LOWER(Z$2:Z$1000)))*(NOT(ISNUMBER(SEARCH("coverage",LOWER(AA$2:AA$1000)))))*(NOT(ISNUMBER(SEARCH("requirement",LOWER(AA$2:AA$1000)))))*(NOT(ISNUMBER(SEARCH("probabilistic",LOWER(AA$2:AA$1000)))))*(NOT(ISNUMBER(SEARCH("distribution",LOWER(AA$2:AA$1000)))))*(NOT(ISNUMBER(SEARCH("clustering",LOWER(AA$2:AA$1000)))))*(NOT(ISNUMBER(SEARCH("history",LOWER(AA$2:AA$1000)))))*(NOT(ISNUMBER(SEARCH("model",LOWER(AA$2:AA$1000)))))*(NOT(ISNUMBER(SEARCH("cost-aware",LOWER(AA$2:AA$1000)))))*(NOT(ISNUMBER(SEARCH("similarity",LOWER(AA$2:AA$1000)))))*(NOT(ISNUMBER(SEARCH("input",LOWER(AA$2:AA$1000)))))*(NOT(ISNUMBER(SEARCH("structure",LOWER(AA$2:AA$1000)))))*(NOT(ISNUMBER(SEARCH("change",LOWER(AA$2:AA$1000)))))*(NOT(ISNUMBER(SEARCH("ml",LOWER(AA$2:AA$1000)))))*(NOT(ISNUMBER(SEARCH("heuristic",LOWER(AA$2:AA$1000)))))*(NOT(ISNUMBER(SEARCH("search",LOWER(AA$2:AA$1000)))))*(NOT(ISNUMBER(SEARCH("transfer",LOWER(AA$2:AA$1000)))))*(NOT(ISNUMBER(SEARCH("risk",LOWER(AA$2:AA$1000)))))*(NOT(ISNUMBER(SEARCH("nlp",LOWER(AA$2:AA$1000)))))*(NOT(ISNUMBER(SEARCH("design",LOWER(AA$2:AA$1000))))))</f>
        <v>1</v>
      </c>
      <c r="GP37" cm="1">
        <f t="array" ref="GP37">SUMPRODUCT((Y$2:Y$1000="PS")*(F$2:F$1000=FV37)*ISNUMBER(SEARCH("selection",LOWER(Z$2:Z$1000)))*ISNUMBER(SEARCH("cost-aware",LOWER(AA$2:AA$1000))))</f>
        <v>0</v>
      </c>
      <c r="GQ37" cm="1">
        <f t="array" ref="GQ37">SUMPRODUCT((Y$2:Y$1000="PS")*(F$2:F$1000=FV37)*ISNUMBER(SEARCH("selection",LOWER(Z$2:Z$1000)))*ISNUMBER(SEARCH("similarity",LOWER(AA$2:AA$1000))))</f>
        <v>0</v>
      </c>
      <c r="GR37" s="35" cm="1">
        <f t="array" ref="GR37">SUMPRODUCT((Y$2:Y$1000="PS")*(F$2:F$1000=FV37)*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1</v>
      </c>
      <c r="GZ37">
        <v>2013</v>
      </c>
      <c r="HA37" cm="1">
        <f t="array" ref="HA37">SUMPRODUCT((Y$2:Y$1000="PS")*(F$2:F$1000=GZ37)*ISNUMBER(SEARCH("minimization",LOWER(Z$2:Z$1000)))*ISNUMBER(SEARCH(LOWER(HA$36),LOWER(AB$2:AB$1000))))</f>
        <v>0</v>
      </c>
      <c r="HB37" cm="1">
        <f t="array" ref="HB37">SUMPRODUCT((Y$2:Y$1000="PS")*(F$2:F$1000=GZ37)*ISNUMBER(SEARCH("minimization",LOWER(Z$2:Z$1000)))*ISNUMBER(SEARCH(LOWER(HB$36),LOWER(AB$2:AB$1000))))</f>
        <v>0</v>
      </c>
      <c r="HC37" cm="1">
        <f t="array" ref="HC37">SUMPRODUCT((Y$2:Y$1000="PS")*(F$2:F$1000=GZ37)*ISNUMBER(SEARCH("minimization",LOWER(Z$2:Z$1000)))*ISNUMBER(SEARCH(LOWER(HC$36),LOWER(AB$2:AB$1000))))</f>
        <v>1</v>
      </c>
      <c r="HD37" cm="1">
        <f t="array" ref="HD37">SUMPRODUCT((Y$2:Y$1000="PS")*(F$2:F$1000=GZ37)*ISNUMBER(SEARCH("minimization",LOWER(Z$2:Z$1000)))*ISNUMBER(SEARCH(LOWER(HD$36),LOWER(AB$2:AB$1000))))</f>
        <v>0</v>
      </c>
      <c r="HE37" cm="1">
        <f t="array" ref="HE37">SUMPRODUCT((Y$2:Y$1000="PS")*(F$2:F$1000=GZ37)*ISNUMBER(SEARCH("minimization",LOWER(Z$2:Z$1000)))*ISNUMBER(SEARCH(LOWER(HE$36),LOWER(AB$2:AB$1000))))</f>
        <v>0</v>
      </c>
      <c r="HF37" cm="1">
        <f t="array" ref="HF37">SUMPRODUCT((Y$2:Y$1000="PS")*(F$2:F$1000=GZ37)*ISNUMBER(SEARCH("minimization",LOWER(Z$2:Z$1000)))*ISNUMBER(SEARCH(LOWER(HF$36),LOWER(AB$2:AB$1000))))</f>
        <v>0</v>
      </c>
      <c r="HG37" cm="1">
        <f t="array" ref="HG37">SUMPRODUCT((Y$2:Y$1000="PS")*(F$2:F$1000=GZ37)*ISNUMBER(SEARCH("minimization",LOWER(Z$2:Z$1000)))*ISNUMBER(SEARCH(LOWER(HG$36),LOWER(AB$2:AB$1000))))</f>
        <v>0</v>
      </c>
      <c r="HH37" cm="1">
        <f t="array" ref="HH37">SUMPRODUCT((Y$2:Y$1000="PS")*(F$2:F$1000=GZ37)*ISNUMBER(SEARCH("minimization",LOWER(Z$2:Z$1000)))*ISNUMBER(SEARCH(LOWER(HH$36),LOWER(AB$2:AB$1000))))</f>
        <v>0</v>
      </c>
      <c r="HI37" cm="1">
        <f t="array" ref="HI37">SUMPRODUCT((Y$2:Y$1000="PS")*(F$2:F$1000=GZ37)*ISNUMBER(SEARCH("minimization",LOWER(Z$2:Z$1000)))*ISNUMBER(SEARCH(LOWER(HI$36),LOWER(AB$2:AB$1000))))</f>
        <v>0</v>
      </c>
      <c r="HJ37" cm="1">
        <f t="array" ref="HJ37">SUMPRODUCT((Y$2:Y$1000="PS")*(F$2:F$1000=GZ37)*ISNUMBER(SEARCH("minimization",LOWER(Z$2:Z$1000)))*ISNUMBER(SEARCH(LOWER(HJ$36),LOWER(AB$2:AB$1000))))</f>
        <v>0</v>
      </c>
      <c r="HK37" cm="1">
        <f t="array" ref="HK37">SUMPRODUCT((Y$2:Y$1000="PS")*(F$2:F$1000=GZ37)*ISNUMBER(SEARCH("minimization",LOWER(Z$2:Z$1000)))*ISNUMBER(SEARCH(LOWER(HK$36),LOWER(AB$2:AB$1000))))</f>
        <v>0</v>
      </c>
      <c r="HL37" cm="1">
        <f t="array" ref="HL37">SUMPRODUCT((Y$2:Y$1000="PS")*(F$2:F$1000=GZ37)*ISNUMBER(SEARCH("minimization",LOWER(Z$2:Z$1000)))*ISNUMBER(SEARCH(LOWER(HL$36),LOWER(AB$2:AB$1000))))</f>
        <v>0</v>
      </c>
      <c r="HM37" cm="1">
        <f t="array" ref="HM37">SUMPRODUCT((Y$2:Y$1000="PS")*(F$2:F$1000=GZ37)*ISNUMBER(SEARCH("minimization",LOWER(Z$2:Z$1000)))*ISNUMBER(SEARCH(LOWER(HM$36),LOWER(AB$2:AB$1000))))</f>
        <v>0</v>
      </c>
    </row>
    <row r="38" spans="1:221" ht="115.2">
      <c r="C38" t="s">
        <v>486</v>
      </c>
      <c r="D38" t="s">
        <v>487</v>
      </c>
      <c r="E38" t="s">
        <v>488</v>
      </c>
      <c r="F38">
        <v>2019</v>
      </c>
      <c r="J38" t="s">
        <v>489</v>
      </c>
      <c r="Y38" t="s">
        <v>58</v>
      </c>
      <c r="Z38" s="9" t="s">
        <v>490</v>
      </c>
      <c r="AA38" s="10" t="s">
        <v>1301</v>
      </c>
      <c r="AB38" s="10" t="s">
        <v>91</v>
      </c>
      <c r="AC38" s="9"/>
      <c r="AD38" s="10" t="s">
        <v>491</v>
      </c>
      <c r="AE38" s="9" t="s">
        <v>492</v>
      </c>
      <c r="AF38" s="10" t="s">
        <v>493</v>
      </c>
      <c r="AG38" s="10" t="s">
        <v>494</v>
      </c>
      <c r="AH38" s="10">
        <v>0</v>
      </c>
      <c r="AK38">
        <f t="shared" si="6"/>
        <v>1</v>
      </c>
      <c r="AL38">
        <f t="shared" si="0"/>
        <v>0</v>
      </c>
      <c r="AM38">
        <f t="shared" si="1"/>
        <v>1</v>
      </c>
      <c r="AN38">
        <f t="shared" si="2"/>
        <v>0</v>
      </c>
      <c r="FQ38" t="s">
        <v>1299</v>
      </c>
      <c r="FR38" s="35" cm="1">
        <f t="array" ref="FR38">SUMPRODUCT((Y$2:Y$1000="PS")*ISNUMBER(SEARCH(LOWER(FQ38),LOWER(AA$2:AA$1000)))*ISNUMBER(SEARCH("selection",LOWER(Z$2:Z$1000))))</f>
        <v>0</v>
      </c>
      <c r="FV38">
        <v>2014</v>
      </c>
      <c r="FW38" s="35" cm="1">
        <f t="array" ref="FW38">SUMPRODUCT((Y$2:Y$1000="PS")*(F$2:F$1000=FV38)*ISNUMBER(SEARCH("selection",LOWER(Z$2:Z$1000)))*ISNUMBER(SEARCH("integer",LOWER(AA$2:AA$1000))))</f>
        <v>0</v>
      </c>
      <c r="FX38" cm="1">
        <f t="array" ref="FX38">SUMPRODUCT((Y$2:Y$1000="PS")*(F$2:F$1000=FV38)*ISNUMBER(SEARCH("selection",LOWER(Z$2:Z$1000)))*ISNUMBER(SEARCH("data-flow",LOWER(AA$2:AA$1000))))</f>
        <v>0</v>
      </c>
      <c r="FY38" cm="1">
        <f t="array" ref="FY38">SUMPRODUCT((Y$2:Y$1000="PS")*(F$2:F$1000=FV38)*ISNUMBER(SEARCH("selection",LOWER(Z$2:Z$1000)))*ISNUMBER(SEARCH("symbolic",LOWER(AA$2:AA$1000))))</f>
        <v>0</v>
      </c>
      <c r="FZ38" cm="1">
        <f t="array" ref="FZ38">SUMPRODUCT((Y$2:Y$1000="PS")*(F$2:F$1000=FV38)*ISNUMBER(SEARCH("selection",LOWER(Z$2:Z$1000)))*ISNUMBER(SEARCH("dynamyc",LOWER(AA$2:AA$1000))))</f>
        <v>0</v>
      </c>
      <c r="GA38" cm="1">
        <f t="array" ref="GA38">SUMPRODUCT((Y$2:Y$1000="PS")*(F$2:F$1000=FV38)*ISNUMBER(SEARCH("selection",LOWER(Z$2:Z$1000)))*ISNUMBER(SEARCH("graph",LOWER(AA$2:AA$1000))))</f>
        <v>0</v>
      </c>
      <c r="GB38" cm="1">
        <f t="array" ref="GB38">SUMPRODUCT((Y$2:Y$1000="PS")*(F$2:F$1000=FV38)*ISNUMBER(SEARCH("selection",LOWER(Z$2:Z$1000)))*ISNUMBER(SEARCH("textual",LOWER(AA$2:AA$1000))))</f>
        <v>0</v>
      </c>
      <c r="GC38" cm="1">
        <f t="array" ref="GC38">SUMPRODUCT((Y$2:Y$1000="PS")*(F$2:F$1000=FV38)*ISNUMBER(SEARCH("selection",LOWER(Z$2:Z$1000)))*ISNUMBER(SEARCH("sdg",LOWER(AA$2:AA$1000))))</f>
        <v>0</v>
      </c>
      <c r="GD38" cm="1">
        <f t="array" ref="GD38">SUMPRODUCT((Y$2:Y$1000="PS")*(F$2:F$1000=FV38)*ISNUMBER(SEARCH("selection",LOWER(Z$2:Z$1000)))*ISNUMBER(SEARCH("path",LOWER(AA$2:AA$1000))))</f>
        <v>0</v>
      </c>
      <c r="GE38" cm="1">
        <f t="array" ref="GE38">SUMPRODUCT((Y$2:Y$1000="PS")*(F$2:F$1000=FV38)*ISNUMBER(SEARCH("selection",LOWER(Z$2:Z$1000)))*ISNUMBER(SEARCH("mod",LOWER(AA$2:AA$1000))))</f>
        <v>1</v>
      </c>
      <c r="GF38" cm="1">
        <f t="array" ref="GF38">SUMPRODUCT((Y$2:Y$1000="PS")*(F$2:F$1000=FV38)*ISNUMBER(SEARCH("selection",LOWER(Z$2:Z$1000)))*ISNUMBER(SEARCH("firewall",LOWER(AA$2:AA$1000))))</f>
        <v>0</v>
      </c>
      <c r="GG38" cm="1">
        <f t="array" ref="GG38">SUMPRODUCT((Y$2:Y$1000="PS")*(F$2:F$1000=FV38)*ISNUMBER(SEARCH("selection",LOWER(Z$2:Z$1000)))*ISNUMBER(SEARCH("cluster",LOWER(AA$2:AA$1000))))</f>
        <v>0</v>
      </c>
      <c r="GH38" cm="1">
        <f t="array" ref="GH38">SUMPRODUCT((Y$2:Y$1000="PS")*(F$2:F$1000=FV38)*ISNUMBER(SEARCH("selection",LOWER(Z$2:Z$1000)))*ISNUMBER(SEARCH("design",LOWER(AA$2:AA$1000))))</f>
        <v>0</v>
      </c>
      <c r="GI38" cm="1">
        <f t="array" ref="GI38">SUMPRODUCT((Y$2:Y$1000="PS")*(F$2:F$1000=FV38)*ISNUMBER(SEARCH("selection",LOWER(Z$2:Z$1000)))*ISNUMBER(SEARCH("hybrid",LOWER(AA$2:AA$1000))))</f>
        <v>0</v>
      </c>
      <c r="GJ38" cm="1">
        <f t="array" ref="GJ38">SUMPRODUCT((Y$2:Y$1000="PS")*(F$2:F$1000=FV38)*ISNUMBER(SEARCH("selection",LOWER(Z$2:Z$1000)))*ISNUMBER(SEARCH("selection",LOWER(AA$2:AA$1000))))</f>
        <v>0</v>
      </c>
      <c r="GK38" cm="1">
        <f t="array" ref="GK38">SUMPRODUCT((Y$2:Y$1000="PS")*(F$2:F$1000=FV38)*ISNUMBER(SEARCH("selection",LOWER(Z$2:Z$1000)))*ISNUMBER(SEARCH("detection",LOWER(AA$2:AA$1000))))</f>
        <v>0</v>
      </c>
      <c r="GL38" cm="1">
        <f t="array" ref="GL38">SUMPRODUCT((Y$2:Y$1000="PS")*(F$2:F$1000=FV38)*ISNUMBER(SEARCH("selection",LOWER(Z$2:Z$1000)))*ISNUMBER(SEARCH("coverage",LOWER(AA$2:AA$1000))))</f>
        <v>0</v>
      </c>
      <c r="GM38" cm="1">
        <f t="array" ref="GM38">SUMPRODUCT((Y$2:Y$1000="PS")*(F$2:F$1000=FV38)*ISNUMBER(SEARCH("selection",LOWER(Z$2:Z$1000)))*ISNUMBER(SEARCH("change",LOWER(AA$2:AA$1000))))</f>
        <v>0</v>
      </c>
      <c r="GN38" cm="1">
        <f t="array" ref="GN38">SUMPRODUCT((Y$2:Y$1000="PS")*(F$2:F$1000=FV38)*ISNUMBER(SEARCH("selection",LOWER(Z$2:Z$1000)))*ISNUMBER(SEARCH("model",LOWER(AA$2:AA$1000))))</f>
        <v>0</v>
      </c>
      <c r="GO38" cm="1">
        <f t="array" ref="GO38">SUMPRODUCT((Y$2:Y$1000="PS")*(F$2:F$1000=FV38)*ISNUMBER(SEARCH("selection",LOWER(Z$2:Z$1000)))*ISNUMBER(SEARCH("hystory",LOWER(AA$2:AA$1000))))</f>
        <v>0</v>
      </c>
      <c r="GP38" cm="1">
        <f t="array" ref="GP38">SUMPRODUCT((Y$2:Y$1000="PS")*(F$2:F$1000=FV38)*ISNUMBER(SEARCH("selection",LOWER(Z$2:Z$1000)))*ISNUMBER(SEARCH("cost-aware",LOWER(AA$2:AA$1000))))</f>
        <v>0</v>
      </c>
      <c r="GQ38" cm="1">
        <f t="array" ref="GQ38">SUMPRODUCT((Y$2:Y$1000="PS")*(F$2:F$1000=FV38)*ISNUMBER(SEARCH("selection",LOWER(Z$2:Z$1000)))*ISNUMBER(SEARCH("similarity",LOWER(AA$2:AA$1000))))</f>
        <v>0</v>
      </c>
      <c r="GR38" s="35" cm="1">
        <f t="array" ref="GR38">SUMPRODUCT((Y$2:Y$1000="PS")*(F$2:F$1000=FV38)*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38">
        <v>2014</v>
      </c>
      <c r="HA38" cm="1">
        <f t="array" ref="HA38">SUMPRODUCT((Y$2:Y$1000="PS")*(F$2:F$1000=GZ38)*ISNUMBER(SEARCH("minimization",LOWER(Z$2:Z$1000)))*ISNUMBER(SEARCH(LOWER(HA$36),LOWER(AB$2:AB$1000))))</f>
        <v>0</v>
      </c>
      <c r="HB38" cm="1">
        <f t="array" ref="HB38">SUMPRODUCT((Y$2:Y$1000="PS")*(F$2:F$1000=GZ38)*ISNUMBER(SEARCH("minimization",LOWER(Z$2:Z$1000)))*ISNUMBER(SEARCH(LOWER(HB$36),LOWER(AB$2:AB$1000))))</f>
        <v>0</v>
      </c>
      <c r="HC38" cm="1">
        <f t="array" ref="HC38">SUMPRODUCT((Y$2:Y$1000="PS")*(F$2:F$1000=GZ38)*ISNUMBER(SEARCH("minimization",LOWER(Z$2:Z$1000)))*ISNUMBER(SEARCH(LOWER(HC$36),LOWER(AB$2:AB$1000))))</f>
        <v>0</v>
      </c>
      <c r="HD38" cm="1">
        <f t="array" ref="HD38">SUMPRODUCT((Y$2:Y$1000="PS")*(F$2:F$1000=GZ38)*ISNUMBER(SEARCH("minimization",LOWER(Z$2:Z$1000)))*ISNUMBER(SEARCH(LOWER(HD$36),LOWER(AB$2:AB$1000))))</f>
        <v>0</v>
      </c>
      <c r="HE38" cm="1">
        <f t="array" ref="HE38">SUMPRODUCT((Y$2:Y$1000="PS")*(F$2:F$1000=GZ38)*ISNUMBER(SEARCH("minimization",LOWER(Z$2:Z$1000)))*ISNUMBER(SEARCH(LOWER(HE$36),LOWER(AB$2:AB$1000))))</f>
        <v>0</v>
      </c>
      <c r="HF38" cm="1">
        <f t="array" ref="HF38">SUMPRODUCT((Y$2:Y$1000="PS")*(F$2:F$1000=GZ38)*ISNUMBER(SEARCH("minimization",LOWER(Z$2:Z$1000)))*ISNUMBER(SEARCH(LOWER(HF$36),LOWER(AB$2:AB$1000))))</f>
        <v>0</v>
      </c>
      <c r="HG38" cm="1">
        <f t="array" ref="HG38">SUMPRODUCT((Y$2:Y$1000="PS")*(F$2:F$1000=GZ38)*ISNUMBER(SEARCH("minimization",LOWER(Z$2:Z$1000)))*ISNUMBER(SEARCH(LOWER(HG$36),LOWER(AB$2:AB$1000))))</f>
        <v>0</v>
      </c>
      <c r="HH38" cm="1">
        <f t="array" ref="HH38">SUMPRODUCT((Y$2:Y$1000="PS")*(F$2:F$1000=GZ38)*ISNUMBER(SEARCH("minimization",LOWER(Z$2:Z$1000)))*ISNUMBER(SEARCH(LOWER(HH$36),LOWER(AB$2:AB$1000))))</f>
        <v>0</v>
      </c>
      <c r="HI38" cm="1">
        <f t="array" ref="HI38">SUMPRODUCT((Y$2:Y$1000="PS")*(F$2:F$1000=GZ38)*ISNUMBER(SEARCH("minimization",LOWER(Z$2:Z$1000)))*ISNUMBER(SEARCH(LOWER(HI$36),LOWER(AB$2:AB$1000))))</f>
        <v>0</v>
      </c>
      <c r="HJ38" cm="1">
        <f t="array" ref="HJ38">SUMPRODUCT((Y$2:Y$1000="PS")*(F$2:F$1000=GZ38)*ISNUMBER(SEARCH("minimization",LOWER(Z$2:Z$1000)))*ISNUMBER(SEARCH(LOWER(HJ$36),LOWER(AB$2:AB$1000))))</f>
        <v>0</v>
      </c>
      <c r="HK38" cm="1">
        <f t="array" ref="HK38">SUMPRODUCT((Y$2:Y$1000="PS")*(F$2:F$1000=GZ38)*ISNUMBER(SEARCH("minimization",LOWER(Z$2:Z$1000)))*ISNUMBER(SEARCH(LOWER(HK$36),LOWER(AB$2:AB$1000))))</f>
        <v>0</v>
      </c>
      <c r="HL38" cm="1">
        <f t="array" ref="HL38">SUMPRODUCT((Y$2:Y$1000="PS")*(F$2:F$1000=GZ38)*ISNUMBER(SEARCH("minimization",LOWER(Z$2:Z$1000)))*ISNUMBER(SEARCH(LOWER(HL$36),LOWER(AB$2:AB$1000))))</f>
        <v>0</v>
      </c>
      <c r="HM38" cm="1">
        <f t="array" ref="HM38">SUMPRODUCT((Y$2:Y$1000="PS")*(F$2:F$1000=GZ38)*ISNUMBER(SEARCH("minimization",LOWER(Z$2:Z$1000)))*ISNUMBER(SEARCH(LOWER(HM$36),LOWER(AB$2:AB$1000))))</f>
        <v>0</v>
      </c>
    </row>
    <row r="39" spans="1:221" ht="100.8">
      <c r="C39" t="s">
        <v>495</v>
      </c>
      <c r="D39" t="s">
        <v>496</v>
      </c>
      <c r="E39" t="s">
        <v>497</v>
      </c>
      <c r="F39">
        <v>2016</v>
      </c>
      <c r="J39" t="s">
        <v>498</v>
      </c>
      <c r="Y39" t="s">
        <v>44</v>
      </c>
      <c r="Z39" s="11" t="s">
        <v>499</v>
      </c>
      <c r="AA39" s="12" t="s">
        <v>1367</v>
      </c>
      <c r="AB39" s="12" t="s">
        <v>1371</v>
      </c>
      <c r="AC39" s="12"/>
      <c r="AD39" s="12" t="s">
        <v>500</v>
      </c>
      <c r="AE39" s="11" t="s">
        <v>501</v>
      </c>
      <c r="AF39" s="12" t="s">
        <v>502</v>
      </c>
      <c r="AG39" s="12" t="s">
        <v>503</v>
      </c>
      <c r="AH39" s="12">
        <v>0</v>
      </c>
      <c r="AK39">
        <f t="shared" si="6"/>
        <v>0</v>
      </c>
      <c r="AL39">
        <f t="shared" si="0"/>
        <v>0</v>
      </c>
      <c r="AM39">
        <f t="shared" si="1"/>
        <v>0</v>
      </c>
      <c r="AN39">
        <f t="shared" si="2"/>
        <v>0</v>
      </c>
      <c r="FQ39" t="s">
        <v>1287</v>
      </c>
      <c r="FR39" s="35" cm="1">
        <f t="array" ref="FR39">SUMPRODUCT((Y$2:Y$1000="PS")*ISNUMBER(SEARCH(LOWER(FQ39),LOWER(AA$2:AA$1000)))*ISNUMBER(SEARCH("selection",LOWER(Z$2:Z$1000))))</f>
        <v>0</v>
      </c>
      <c r="FV39">
        <v>2015</v>
      </c>
      <c r="FW39" s="35" cm="1">
        <f t="array" ref="FW39">SUMPRODUCT((Y$2:Y$1000="PS")*(F$2:F$1000=FV39)*ISNUMBER(SEARCH("selection",LOWER(Z$2:Z$1000)))*ISNUMBER(SEARCH("integer",LOWER(AA$2:AA$1000))))</f>
        <v>0</v>
      </c>
      <c r="FX39" cm="1">
        <f t="array" ref="FX39">SUMPRODUCT((Y$2:Y$1000="PS")*(F$2:F$1000=FV39)*ISNUMBER(SEARCH("selection",LOWER(Z$2:Z$1000)))*ISNUMBER(SEARCH("data-flow",LOWER(AA$2:AA$1000))))</f>
        <v>0</v>
      </c>
      <c r="FY39" cm="1">
        <f t="array" ref="FY39">SUMPRODUCT((Y$2:Y$1000="PS")*(F$2:F$1000=FV39)*ISNUMBER(SEARCH("selection",LOWER(Z$2:Z$1000)))*ISNUMBER(SEARCH("symbolic",LOWER(AA$2:AA$1000))))</f>
        <v>0</v>
      </c>
      <c r="FZ39" cm="1">
        <f t="array" ref="FZ39">SUMPRODUCT((Y$2:Y$1000="PS")*(F$2:F$1000=FV39)*ISNUMBER(SEARCH("selection",LOWER(Z$2:Z$1000)))*ISNUMBER(SEARCH("dynamyc",LOWER(AA$2:AA$1000))))</f>
        <v>0</v>
      </c>
      <c r="GA39" cm="1">
        <f t="array" ref="GA39">SUMPRODUCT((Y$2:Y$1000="PS")*(F$2:F$1000=FV39)*ISNUMBER(SEARCH("selection",LOWER(Z$2:Z$1000)))*ISNUMBER(SEARCH("graph",LOWER(AA$2:AA$1000))))</f>
        <v>0</v>
      </c>
      <c r="GB39" cm="1">
        <f t="array" ref="GB39">SUMPRODUCT((Y$2:Y$1000="PS")*(F$2:F$1000=FV39)*ISNUMBER(SEARCH("selection",LOWER(Z$2:Z$1000)))*ISNUMBER(SEARCH("textual",LOWER(AA$2:AA$1000))))</f>
        <v>0</v>
      </c>
      <c r="GC39" cm="1">
        <f t="array" ref="GC39">SUMPRODUCT((Y$2:Y$1000="PS")*(F$2:F$1000=FV39)*ISNUMBER(SEARCH("selection",LOWER(Z$2:Z$1000)))*ISNUMBER(SEARCH("sdg",LOWER(AA$2:AA$1000))))</f>
        <v>0</v>
      </c>
      <c r="GD39" cm="1">
        <f t="array" ref="GD39">SUMPRODUCT((Y$2:Y$1000="PS")*(F$2:F$1000=FV39)*ISNUMBER(SEARCH("selection",LOWER(Z$2:Z$1000)))*ISNUMBER(SEARCH("path",LOWER(AA$2:AA$1000))))</f>
        <v>0</v>
      </c>
      <c r="GE39" cm="1">
        <f t="array" ref="GE39">SUMPRODUCT((Y$2:Y$1000="PS")*(F$2:F$1000=FV39)*ISNUMBER(SEARCH("selection",LOWER(Z$2:Z$1000)))*ISNUMBER(SEARCH("mod",LOWER(AA$2:AA$1000))))</f>
        <v>0</v>
      </c>
      <c r="GF39" cm="1">
        <f t="array" ref="GF39">SUMPRODUCT((Y$2:Y$1000="PS")*(F$2:F$1000=FV39)*ISNUMBER(SEARCH("selection",LOWER(Z$2:Z$1000)))*ISNUMBER(SEARCH("firewall",LOWER(AA$2:AA$1000))))</f>
        <v>0</v>
      </c>
      <c r="GG39" cm="1">
        <f t="array" ref="GG39">SUMPRODUCT((Y$2:Y$1000="PS")*(F$2:F$1000=FV39)*ISNUMBER(SEARCH("selection",LOWER(Z$2:Z$1000)))*ISNUMBER(SEARCH("cluster",LOWER(AA$2:AA$1000))))</f>
        <v>0</v>
      </c>
      <c r="GH39" cm="1">
        <f t="array" ref="GH39">SUMPRODUCT((Y$2:Y$1000="PS")*(F$2:F$1000=FV39)*ISNUMBER(SEARCH("selection",LOWER(Z$2:Z$1000)))*ISNUMBER(SEARCH("design",LOWER(AA$2:AA$1000))))</f>
        <v>0</v>
      </c>
      <c r="GI39" cm="1">
        <f t="array" ref="GI39">SUMPRODUCT((Y$2:Y$1000="PS")*(F$2:F$1000=FV39)*ISNUMBER(SEARCH("selection",LOWER(Z$2:Z$1000)))*ISNUMBER(SEARCH("hybrid",LOWER(AA$2:AA$1000))))</f>
        <v>0</v>
      </c>
      <c r="GJ39" cm="1">
        <f t="array" ref="GJ39">SUMPRODUCT((Y$2:Y$1000="PS")*(F$2:F$1000=FV39)*ISNUMBER(SEARCH("selection",LOWER(Z$2:Z$1000)))*ISNUMBER(SEARCH("selection",LOWER(AA$2:AA$1000))))</f>
        <v>0</v>
      </c>
      <c r="GK39" cm="1">
        <f t="array" ref="GK39">SUMPRODUCT((Y$2:Y$1000="PS")*(F$2:F$1000=FV39)*ISNUMBER(SEARCH("selection",LOWER(Z$2:Z$1000)))*ISNUMBER(SEARCH("detection",LOWER(AA$2:AA$1000))))</f>
        <v>0</v>
      </c>
      <c r="GL39" cm="1">
        <f t="array" ref="GL39">SUMPRODUCT((Y$2:Y$1000="PS")*(F$2:F$1000=FV39)*ISNUMBER(SEARCH("selection",LOWER(Z$2:Z$1000)))*ISNUMBER(SEARCH("coverage",LOWER(AA$2:AA$1000))))</f>
        <v>0</v>
      </c>
      <c r="GM39" cm="1">
        <f t="array" ref="GM39">SUMPRODUCT((Y$2:Y$1000="PS")*(F$2:F$1000=FV39)*ISNUMBER(SEARCH("selection",LOWER(Z$2:Z$1000)))*ISNUMBER(SEARCH("change",LOWER(AA$2:AA$1000))))</f>
        <v>0</v>
      </c>
      <c r="GN39" cm="1">
        <f t="array" ref="GN39">SUMPRODUCT((Y$2:Y$1000="PS")*(F$2:F$1000=FV39)*ISNUMBER(SEARCH("selection",LOWER(Z$2:Z$1000)))*ISNUMBER(SEARCH("model",LOWER(AA$2:AA$1000))))</f>
        <v>0</v>
      </c>
      <c r="GO39" cm="1">
        <f t="array" ref="GO39">SUMPRODUCT((Y$2:Y$1000="PS")*(F$2:F$1000=FV39)*ISNUMBER(SEARCH("selection",LOWER(Z$2:Z$1000)))*ISNUMBER(SEARCH("hystory",LOWER(AA$2:AA$1000))))</f>
        <v>0</v>
      </c>
      <c r="GP39" cm="1">
        <f t="array" ref="GP39">SUMPRODUCT((Y$2:Y$1000="PS")*(F$2:F$1000=FV39)*ISNUMBER(SEARCH("selection",LOWER(Z$2:Z$1000)))*ISNUMBER(SEARCH("cost-aware",LOWER(AA$2:AA$1000))))</f>
        <v>0</v>
      </c>
      <c r="GQ39" cm="1">
        <f t="array" ref="GQ39">SUMPRODUCT((Y$2:Y$1000="PS")*(F$2:F$1000=FV39)*ISNUMBER(SEARCH("selection",LOWER(Z$2:Z$1000)))*ISNUMBER(SEARCH("similarity",LOWER(AA$2:AA$1000))))</f>
        <v>0</v>
      </c>
      <c r="GR39" s="35" cm="1">
        <f t="array" ref="GR39">SUMPRODUCT((Y$2:Y$1000="PS")*(F$2:F$1000=FV39)*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39">
        <v>2015</v>
      </c>
      <c r="HA39" cm="1">
        <f t="array" ref="HA39">SUMPRODUCT((Y$2:Y$1000="PS")*(F$2:F$1000=GZ39)*ISNUMBER(SEARCH("minimization",LOWER(Z$2:Z$1000)))*ISNUMBER(SEARCH(LOWER(HA$36),LOWER(AB$2:AB$1000))))</f>
        <v>0</v>
      </c>
      <c r="HB39" cm="1">
        <f t="array" ref="HB39">SUMPRODUCT((Y$2:Y$1000="PS")*(F$2:F$1000=GZ39)*ISNUMBER(SEARCH("minimization",LOWER(Z$2:Z$1000)))*ISNUMBER(SEARCH(LOWER(HB$36),LOWER(AB$2:AB$1000))))</f>
        <v>0</v>
      </c>
      <c r="HC39" cm="1">
        <f t="array" ref="HC39">SUMPRODUCT((Y$2:Y$1000="PS")*(F$2:F$1000=GZ39)*ISNUMBER(SEARCH("minimization",LOWER(Z$2:Z$1000)))*ISNUMBER(SEARCH(LOWER(HC$36),LOWER(AB$2:AB$1000))))</f>
        <v>0</v>
      </c>
      <c r="HD39" cm="1">
        <f t="array" ref="HD39">SUMPRODUCT((Y$2:Y$1000="PS")*(F$2:F$1000=GZ39)*ISNUMBER(SEARCH("minimization",LOWER(Z$2:Z$1000)))*ISNUMBER(SEARCH(LOWER(HD$36),LOWER(AB$2:AB$1000))))</f>
        <v>0</v>
      </c>
      <c r="HE39" cm="1">
        <f t="array" ref="HE39">SUMPRODUCT((Y$2:Y$1000="PS")*(F$2:F$1000=GZ39)*ISNUMBER(SEARCH("minimization",LOWER(Z$2:Z$1000)))*ISNUMBER(SEARCH(LOWER(HE$36),LOWER(AB$2:AB$1000))))</f>
        <v>0</v>
      </c>
      <c r="HF39" cm="1">
        <f t="array" ref="HF39">SUMPRODUCT((Y$2:Y$1000="PS")*(F$2:F$1000=GZ39)*ISNUMBER(SEARCH("minimization",LOWER(Z$2:Z$1000)))*ISNUMBER(SEARCH(LOWER(HF$36),LOWER(AB$2:AB$1000))))</f>
        <v>0</v>
      </c>
      <c r="HG39" cm="1">
        <f t="array" ref="HG39">SUMPRODUCT((Y$2:Y$1000="PS")*(F$2:F$1000=GZ39)*ISNUMBER(SEARCH("minimization",LOWER(Z$2:Z$1000)))*ISNUMBER(SEARCH(LOWER(HG$36),LOWER(AB$2:AB$1000))))</f>
        <v>0</v>
      </c>
      <c r="HH39" cm="1">
        <f t="array" ref="HH39">SUMPRODUCT((Y$2:Y$1000="PS")*(F$2:F$1000=GZ39)*ISNUMBER(SEARCH("minimization",LOWER(Z$2:Z$1000)))*ISNUMBER(SEARCH(LOWER(HH$36),LOWER(AB$2:AB$1000))))</f>
        <v>0</v>
      </c>
      <c r="HI39" cm="1">
        <f t="array" ref="HI39">SUMPRODUCT((Y$2:Y$1000="PS")*(F$2:F$1000=GZ39)*ISNUMBER(SEARCH("minimization",LOWER(Z$2:Z$1000)))*ISNUMBER(SEARCH(LOWER(HI$36),LOWER(AB$2:AB$1000))))</f>
        <v>0</v>
      </c>
      <c r="HJ39" cm="1">
        <f t="array" ref="HJ39">SUMPRODUCT((Y$2:Y$1000="PS")*(F$2:F$1000=GZ39)*ISNUMBER(SEARCH("minimization",LOWER(Z$2:Z$1000)))*ISNUMBER(SEARCH(LOWER(HJ$36),LOWER(AB$2:AB$1000))))</f>
        <v>0</v>
      </c>
      <c r="HK39" cm="1">
        <f t="array" ref="HK39">SUMPRODUCT((Y$2:Y$1000="PS")*(F$2:F$1000=GZ39)*ISNUMBER(SEARCH("minimization",LOWER(Z$2:Z$1000)))*ISNUMBER(SEARCH(LOWER(HK$36),LOWER(AB$2:AB$1000))))</f>
        <v>0</v>
      </c>
      <c r="HL39" cm="1">
        <f t="array" ref="HL39">SUMPRODUCT((Y$2:Y$1000="PS")*(F$2:F$1000=GZ39)*ISNUMBER(SEARCH("minimization",LOWER(Z$2:Z$1000)))*ISNUMBER(SEARCH(LOWER(HL$36),LOWER(AB$2:AB$1000))))</f>
        <v>0</v>
      </c>
      <c r="HM39" cm="1">
        <f t="array" ref="HM39">SUMPRODUCT((Y$2:Y$1000="PS")*(F$2:F$1000=GZ39)*ISNUMBER(SEARCH("minimization",LOWER(Z$2:Z$1000)))*ISNUMBER(SEARCH(LOWER(HM$36),LOWER(AB$2:AB$1000))))</f>
        <v>0</v>
      </c>
    </row>
    <row r="40" spans="1:221" ht="144">
      <c r="C40" t="s">
        <v>504</v>
      </c>
      <c r="D40" t="s">
        <v>505</v>
      </c>
      <c r="E40" t="s">
        <v>506</v>
      </c>
      <c r="F40">
        <v>2018</v>
      </c>
      <c r="J40" t="s">
        <v>507</v>
      </c>
      <c r="Y40" t="s">
        <v>58</v>
      </c>
      <c r="Z40" s="13" t="s">
        <v>1390</v>
      </c>
      <c r="AA40" s="14" t="s">
        <v>129</v>
      </c>
      <c r="AB40" s="14" t="s">
        <v>91</v>
      </c>
      <c r="AC40" s="15"/>
      <c r="AD40" s="14" t="s">
        <v>508</v>
      </c>
      <c r="AE40" s="13" t="s">
        <v>509</v>
      </c>
      <c r="AF40" s="13" t="s">
        <v>510</v>
      </c>
      <c r="AG40" s="14" t="s">
        <v>511</v>
      </c>
      <c r="AH40" s="14">
        <v>1</v>
      </c>
      <c r="AK40">
        <f t="shared" si="6"/>
        <v>1</v>
      </c>
      <c r="AL40">
        <f t="shared" si="0"/>
        <v>0</v>
      </c>
      <c r="AM40">
        <f t="shared" si="1"/>
        <v>0</v>
      </c>
      <c r="AN40">
        <f t="shared" si="2"/>
        <v>0</v>
      </c>
      <c r="FQ40" t="s">
        <v>1300</v>
      </c>
      <c r="FR40" s="35" cm="1">
        <f t="array" ref="FR40">SUMPRODUCT((Y$2:Y$1000="PS")*ISNUMBER(SEARCH(LOWER(FQ40),LOWER(AA$2:AA$1000)))*ISNUMBER(SEARCH("selection",LOWER(Z$2:Z$1000))))</f>
        <v>0</v>
      </c>
      <c r="FV40">
        <v>2016</v>
      </c>
      <c r="FW40" s="35" cm="1">
        <f t="array" ref="FW40">SUMPRODUCT((Y$2:Y$1000="PS")*(F$2:F$1000=FV40)*ISNUMBER(SEARCH("selection",LOWER(Z$2:Z$1000)))*ISNUMBER(SEARCH("integer",LOWER(AA$2:AA$1000))))</f>
        <v>0</v>
      </c>
      <c r="FX40" cm="1">
        <f t="array" ref="FX40">SUMPRODUCT((Y$2:Y$1000="PS")*(F$2:F$1000=FV40)*ISNUMBER(SEARCH("selection",LOWER(Z$2:Z$1000)))*ISNUMBER(SEARCH("data-flow",LOWER(AA$2:AA$1000))))</f>
        <v>0</v>
      </c>
      <c r="FY40" cm="1">
        <f t="array" ref="FY40">SUMPRODUCT((Y$2:Y$1000="PS")*(F$2:F$1000=FV40)*ISNUMBER(SEARCH("selection",LOWER(Z$2:Z$1000)))*ISNUMBER(SEARCH("symbolic",LOWER(AA$2:AA$1000))))</f>
        <v>1</v>
      </c>
      <c r="FZ40" cm="1">
        <f t="array" ref="FZ40">SUMPRODUCT((Y$2:Y$1000="PS")*(F$2:F$1000=FV40)*ISNUMBER(SEARCH("selection",LOWER(Z$2:Z$1000)))*ISNUMBER(SEARCH("dynamyc",LOWER(AA$2:AA$1000))))</f>
        <v>0</v>
      </c>
      <c r="GA40" cm="1">
        <f t="array" ref="GA40">SUMPRODUCT((Y$2:Y$1000="PS")*(F$2:F$1000=FV40)*ISNUMBER(SEARCH("selection",LOWER(Z$2:Z$1000)))*ISNUMBER(SEARCH("graph",LOWER(AA$2:AA$1000))))</f>
        <v>0</v>
      </c>
      <c r="GB40" cm="1">
        <f t="array" ref="GB40">SUMPRODUCT((Y$2:Y$1000="PS")*(F$2:F$1000=FV40)*ISNUMBER(SEARCH("selection",LOWER(Z$2:Z$1000)))*ISNUMBER(SEARCH("textual",LOWER(AA$2:AA$1000))))</f>
        <v>0</v>
      </c>
      <c r="GC40" cm="1">
        <f t="array" ref="GC40">SUMPRODUCT((Y$2:Y$1000="PS")*(F$2:F$1000=FV40)*ISNUMBER(SEARCH("selection",LOWER(Z$2:Z$1000)))*ISNUMBER(SEARCH("sdg",LOWER(AA$2:AA$1000))))</f>
        <v>0</v>
      </c>
      <c r="GD40" cm="1">
        <f t="array" ref="GD40">SUMPRODUCT((Y$2:Y$1000="PS")*(F$2:F$1000=FV40)*ISNUMBER(SEARCH("selection",LOWER(Z$2:Z$1000)))*ISNUMBER(SEARCH("path",LOWER(AA$2:AA$1000))))</f>
        <v>0</v>
      </c>
      <c r="GE40" cm="1">
        <f t="array" ref="GE40">SUMPRODUCT((Y$2:Y$1000="PS")*(F$2:F$1000=FV40)*ISNUMBER(SEARCH("selection",LOWER(Z$2:Z$1000)))*ISNUMBER(SEARCH("mod",LOWER(AA$2:AA$1000))))</f>
        <v>0</v>
      </c>
      <c r="GF40" cm="1">
        <f t="array" ref="GF40">SUMPRODUCT((Y$2:Y$1000="PS")*(F$2:F$1000=FV40)*ISNUMBER(SEARCH("selection",LOWER(Z$2:Z$1000)))*ISNUMBER(SEARCH("firewall",LOWER(AA$2:AA$1000))))</f>
        <v>0</v>
      </c>
      <c r="GG40" cm="1">
        <f t="array" ref="GG40">SUMPRODUCT((Y$2:Y$1000="PS")*(F$2:F$1000=FV40)*ISNUMBER(SEARCH("selection",LOWER(Z$2:Z$1000)))*ISNUMBER(SEARCH("cluster",LOWER(AA$2:AA$1000))))</f>
        <v>0</v>
      </c>
      <c r="GH40" cm="1">
        <f t="array" ref="GH40">SUMPRODUCT((Y$2:Y$1000="PS")*(F$2:F$1000=FV40)*ISNUMBER(SEARCH("selection",LOWER(Z$2:Z$1000)))*ISNUMBER(SEARCH("design",LOWER(AA$2:AA$1000))))</f>
        <v>1</v>
      </c>
      <c r="GI40" cm="1">
        <f t="array" ref="GI40">SUMPRODUCT((Y$2:Y$1000="PS")*(F$2:F$1000=FV40)*ISNUMBER(SEARCH("selection",LOWER(Z$2:Z$1000)))*ISNUMBER(SEARCH("hybrid",LOWER(AA$2:AA$1000))))</f>
        <v>0</v>
      </c>
      <c r="GJ40" cm="1">
        <f t="array" ref="GJ40">SUMPRODUCT((Y$2:Y$1000="PS")*(F$2:F$1000=FV40)*ISNUMBER(SEARCH("selection",LOWER(Z$2:Z$1000)))*ISNUMBER(SEARCH("selection",LOWER(AA$2:AA$1000))))</f>
        <v>0</v>
      </c>
      <c r="GK40" cm="1">
        <f t="array" ref="GK40">SUMPRODUCT((Y$2:Y$1000="PS")*(F$2:F$1000=FV40)*ISNUMBER(SEARCH("selection",LOWER(Z$2:Z$1000)))*ISNUMBER(SEARCH("detection",LOWER(AA$2:AA$1000))))</f>
        <v>0</v>
      </c>
      <c r="GL40" cm="1">
        <f t="array" ref="GL40">SUMPRODUCT((Y$2:Y$1000="PS")*(F$2:F$1000=FV40)*ISNUMBER(SEARCH("selection",LOWER(Z$2:Z$1000)))*ISNUMBER(SEARCH("coverage",LOWER(AA$2:AA$1000))))</f>
        <v>0</v>
      </c>
      <c r="GM40" cm="1">
        <f t="array" ref="GM40">SUMPRODUCT((Y$2:Y$1000="PS")*(F$2:F$1000=FV40)*ISNUMBER(SEARCH("selection",LOWER(Z$2:Z$1000)))*ISNUMBER(SEARCH("change",LOWER(AA$2:AA$1000))))</f>
        <v>0</v>
      </c>
      <c r="GN40" cm="1">
        <f t="array" ref="GN40">SUMPRODUCT((Y$2:Y$1000="PS")*(F$2:F$1000=FV40)*ISNUMBER(SEARCH("selection",LOWER(Z$2:Z$1000)))*ISNUMBER(SEARCH("model",LOWER(AA$2:AA$1000))))</f>
        <v>0</v>
      </c>
      <c r="GO40" cm="1">
        <f t="array" ref="GO40">SUMPRODUCT((Y$2:Y$1000="PS")*(F$2:F$1000=FV40)*ISNUMBER(SEARCH("selection",LOWER(Z$2:Z$1000)))*ISNUMBER(SEARCH("hystory",LOWER(AA$2:AA$1000))))</f>
        <v>0</v>
      </c>
      <c r="GP40" cm="1">
        <f t="array" ref="GP40">SUMPRODUCT((Y$2:Y$1000="PS")*(F$2:F$1000=FV40)*ISNUMBER(SEARCH("selection",LOWER(Z$2:Z$1000)))*ISNUMBER(SEARCH("cost-aware",LOWER(AA$2:AA$1000))))</f>
        <v>0</v>
      </c>
      <c r="GQ40" cm="1">
        <f t="array" ref="GQ40">SUMPRODUCT((Y$2:Y$1000="PS")*(F$2:F$1000=FV40)*ISNUMBER(SEARCH("selection",LOWER(Z$2:Z$1000)))*ISNUMBER(SEARCH("similarity",LOWER(AA$2:AA$1000))))</f>
        <v>0</v>
      </c>
      <c r="GR40" s="35" cm="1">
        <f t="array" ref="GR40">SUMPRODUCT((Y$2:Y$1000="PS")*(F$2:F$1000=FV40)*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40">
        <v>2016</v>
      </c>
      <c r="HA40" cm="1">
        <f t="array" ref="HA40">SUMPRODUCT((Y$2:Y$1000="PS")*(F$2:F$1000=GZ40)*ISNUMBER(SEARCH("minimization",LOWER(Z$2:Z$1000)))*ISNUMBER(SEARCH(LOWER(HA$36),LOWER(AB$2:AB$1000))))</f>
        <v>0</v>
      </c>
      <c r="HB40" cm="1">
        <f t="array" ref="HB40">SUMPRODUCT((Y$2:Y$1000="PS")*(F$2:F$1000=GZ40)*ISNUMBER(SEARCH("minimization",LOWER(Z$2:Z$1000)))*ISNUMBER(SEARCH(LOWER(HB$36),LOWER(AB$2:AB$1000))))</f>
        <v>0</v>
      </c>
      <c r="HC40" cm="1">
        <f t="array" ref="HC40">SUMPRODUCT((Y$2:Y$1000="PS")*(F$2:F$1000=GZ40)*ISNUMBER(SEARCH("minimization",LOWER(Z$2:Z$1000)))*ISNUMBER(SEARCH(LOWER(HC$36),LOWER(AB$2:AB$1000))))</f>
        <v>0</v>
      </c>
      <c r="HD40" cm="1">
        <f t="array" ref="HD40">SUMPRODUCT((Y$2:Y$1000="PS")*(F$2:F$1000=GZ40)*ISNUMBER(SEARCH("minimization",LOWER(Z$2:Z$1000)))*ISNUMBER(SEARCH(LOWER(HD$36),LOWER(AB$2:AB$1000))))</f>
        <v>0</v>
      </c>
      <c r="HE40" cm="1">
        <f t="array" ref="HE40">SUMPRODUCT((Y$2:Y$1000="PS")*(F$2:F$1000=GZ40)*ISNUMBER(SEARCH("minimization",LOWER(Z$2:Z$1000)))*ISNUMBER(SEARCH(LOWER(HE$36),LOWER(AB$2:AB$1000))))</f>
        <v>0</v>
      </c>
      <c r="HF40" cm="1">
        <f t="array" ref="HF40">SUMPRODUCT((Y$2:Y$1000="PS")*(F$2:F$1000=GZ40)*ISNUMBER(SEARCH("minimization",LOWER(Z$2:Z$1000)))*ISNUMBER(SEARCH(LOWER(HF$36),LOWER(AB$2:AB$1000))))</f>
        <v>0</v>
      </c>
      <c r="HG40" cm="1">
        <f t="array" ref="HG40">SUMPRODUCT((Y$2:Y$1000="PS")*(F$2:F$1000=GZ40)*ISNUMBER(SEARCH("minimization",LOWER(Z$2:Z$1000)))*ISNUMBER(SEARCH(LOWER(HG$36),LOWER(AB$2:AB$1000))))</f>
        <v>0</v>
      </c>
      <c r="HH40" cm="1">
        <f t="array" ref="HH40">SUMPRODUCT((Y$2:Y$1000="PS")*(F$2:F$1000=GZ40)*ISNUMBER(SEARCH("minimization",LOWER(Z$2:Z$1000)))*ISNUMBER(SEARCH(LOWER(HH$36),LOWER(AB$2:AB$1000))))</f>
        <v>0</v>
      </c>
      <c r="HI40" cm="1">
        <f t="array" ref="HI40">SUMPRODUCT((Y$2:Y$1000="PS")*(F$2:F$1000=GZ40)*ISNUMBER(SEARCH("minimization",LOWER(Z$2:Z$1000)))*ISNUMBER(SEARCH(LOWER(HI$36),LOWER(AB$2:AB$1000))))</f>
        <v>0</v>
      </c>
      <c r="HJ40" cm="1">
        <f t="array" ref="HJ40">SUMPRODUCT((Y$2:Y$1000="PS")*(F$2:F$1000=GZ40)*ISNUMBER(SEARCH("minimization",LOWER(Z$2:Z$1000)))*ISNUMBER(SEARCH(LOWER(HJ$36),LOWER(AB$2:AB$1000))))</f>
        <v>0</v>
      </c>
      <c r="HK40" cm="1">
        <f t="array" ref="HK40">SUMPRODUCT((Y$2:Y$1000="PS")*(F$2:F$1000=GZ40)*ISNUMBER(SEARCH("minimization",LOWER(Z$2:Z$1000)))*ISNUMBER(SEARCH(LOWER(HK$36),LOWER(AB$2:AB$1000))))</f>
        <v>0</v>
      </c>
      <c r="HL40" cm="1">
        <f t="array" ref="HL40">SUMPRODUCT((Y$2:Y$1000="PS")*(F$2:F$1000=GZ40)*ISNUMBER(SEARCH("minimization",LOWER(Z$2:Z$1000)))*ISNUMBER(SEARCH(LOWER(HL$36),LOWER(AB$2:AB$1000))))</f>
        <v>0</v>
      </c>
      <c r="HM40" cm="1">
        <f t="array" ref="HM40">SUMPRODUCT((Y$2:Y$1000="PS")*(F$2:F$1000=GZ40)*ISNUMBER(SEARCH("minimization",LOWER(Z$2:Z$1000)))*ISNUMBER(SEARCH(LOWER(HM$36),LOWER(AB$2:AB$1000))))</f>
        <v>0</v>
      </c>
    </row>
    <row r="41" spans="1:221" ht="115.2">
      <c r="C41" t="s">
        <v>512</v>
      </c>
      <c r="D41" t="s">
        <v>513</v>
      </c>
      <c r="E41" t="s">
        <v>514</v>
      </c>
      <c r="F41">
        <v>2021</v>
      </c>
      <c r="J41" t="s">
        <v>515</v>
      </c>
      <c r="Y41" t="s">
        <v>58</v>
      </c>
      <c r="Z41" s="6" t="s">
        <v>516</v>
      </c>
      <c r="AA41" s="7" t="s">
        <v>408</v>
      </c>
      <c r="AB41" s="7" t="s">
        <v>91</v>
      </c>
      <c r="AC41" s="8"/>
      <c r="AD41" s="7" t="s">
        <v>517</v>
      </c>
      <c r="AE41" s="6" t="s">
        <v>518</v>
      </c>
      <c r="AF41" s="7" t="s">
        <v>519</v>
      </c>
      <c r="AG41" s="7" t="s">
        <v>520</v>
      </c>
      <c r="AH41" s="7">
        <v>1</v>
      </c>
      <c r="AK41">
        <f t="shared" si="6"/>
        <v>1</v>
      </c>
      <c r="AL41">
        <f t="shared" si="0"/>
        <v>0</v>
      </c>
      <c r="AM41">
        <f t="shared" si="1"/>
        <v>0</v>
      </c>
      <c r="AN41">
        <f t="shared" si="2"/>
        <v>1</v>
      </c>
      <c r="FQ41" t="s">
        <v>1269</v>
      </c>
      <c r="FR41" s="35" cm="1">
        <f t="array" ref="FR41">SUMPRODUCT((Y$2:Y$1000="PS")*ISNUMBER(SEARCH(LOWER(FQ41),LOWER(AA$2:AA$1000)))*ISNUMBER(SEARCH("selection",LOWER(Z$2:Z$1000))))</f>
        <v>0</v>
      </c>
      <c r="FV41">
        <v>2017</v>
      </c>
      <c r="FW41" s="35" cm="1">
        <f t="array" ref="FW41">SUMPRODUCT((Y$2:Y$1000="PS")*(F$2:F$1000=FV41)*ISNUMBER(SEARCH("selection",LOWER(Z$2:Z$1000)))*ISNUMBER(SEARCH("integer",LOWER(AA$2:AA$1000))))</f>
        <v>0</v>
      </c>
      <c r="FX41" cm="1">
        <f t="array" ref="FX41">SUMPRODUCT((Y$2:Y$1000="PS")*(F$2:F$1000=FV41)*ISNUMBER(SEARCH("selection",LOWER(Z$2:Z$1000)))*ISNUMBER(SEARCH("data-flow",LOWER(AA$2:AA$1000))))</f>
        <v>0</v>
      </c>
      <c r="FY41" cm="1">
        <f t="array" ref="FY41">SUMPRODUCT((Y$2:Y$1000="PS")*(F$2:F$1000=FV41)*ISNUMBER(SEARCH("selection",LOWER(Z$2:Z$1000)))*ISNUMBER(SEARCH("symbolic",LOWER(AA$2:AA$1000))))</f>
        <v>0</v>
      </c>
      <c r="FZ41" cm="1">
        <f t="array" ref="FZ41">SUMPRODUCT((Y$2:Y$1000="PS")*(F$2:F$1000=FV41)*ISNUMBER(SEARCH("selection",LOWER(Z$2:Z$1000)))*ISNUMBER(SEARCH("dynamyc",LOWER(AA$2:AA$1000))))</f>
        <v>0</v>
      </c>
      <c r="GA41" cm="1">
        <f t="array" ref="GA41">SUMPRODUCT((Y$2:Y$1000="PS")*(F$2:F$1000=FV41)*ISNUMBER(SEARCH("selection",LOWER(Z$2:Z$1000)))*ISNUMBER(SEARCH("graph",LOWER(AA$2:AA$1000))))</f>
        <v>0</v>
      </c>
      <c r="GB41" cm="1">
        <f t="array" ref="GB41">SUMPRODUCT((Y$2:Y$1000="PS")*(F$2:F$1000=FV41)*ISNUMBER(SEARCH("selection",LOWER(Z$2:Z$1000)))*ISNUMBER(SEARCH("textual",LOWER(AA$2:AA$1000))))</f>
        <v>0</v>
      </c>
      <c r="GC41" cm="1">
        <f t="array" ref="GC41">SUMPRODUCT((Y$2:Y$1000="PS")*(F$2:F$1000=FV41)*ISNUMBER(SEARCH("selection",LOWER(Z$2:Z$1000)))*ISNUMBER(SEARCH("sdg",LOWER(AA$2:AA$1000))))</f>
        <v>0</v>
      </c>
      <c r="GD41" cm="1">
        <f t="array" ref="GD41">SUMPRODUCT((Y$2:Y$1000="PS")*(F$2:F$1000=FV41)*ISNUMBER(SEARCH("selection",LOWER(Z$2:Z$1000)))*ISNUMBER(SEARCH("path",LOWER(AA$2:AA$1000))))</f>
        <v>0</v>
      </c>
      <c r="GE41" cm="1">
        <f t="array" ref="GE41">SUMPRODUCT((Y$2:Y$1000="PS")*(F$2:F$1000=FV41)*ISNUMBER(SEARCH("selection",LOWER(Z$2:Z$1000)))*ISNUMBER(SEARCH("mod",LOWER(AA$2:AA$1000))))</f>
        <v>0</v>
      </c>
      <c r="GF41" cm="1">
        <f t="array" ref="GF41">SUMPRODUCT((Y$2:Y$1000="PS")*(F$2:F$1000=FV41)*ISNUMBER(SEARCH("selection",LOWER(Z$2:Z$1000)))*ISNUMBER(SEARCH("firewall",LOWER(AA$2:AA$1000))))</f>
        <v>0</v>
      </c>
      <c r="GG41" cm="1">
        <f t="array" ref="GG41">SUMPRODUCT((Y$2:Y$1000="PS")*(F$2:F$1000=FV41)*ISNUMBER(SEARCH("selection",LOWER(Z$2:Z$1000)))*ISNUMBER(SEARCH("cluster",LOWER(AA$2:AA$1000))))</f>
        <v>0</v>
      </c>
      <c r="GH41" cm="1">
        <f t="array" ref="GH41">SUMPRODUCT((Y$2:Y$1000="PS")*(F$2:F$1000=FV41)*ISNUMBER(SEARCH("selection",LOWER(Z$2:Z$1000)))*ISNUMBER(SEARCH("design",LOWER(AA$2:AA$1000))))</f>
        <v>1</v>
      </c>
      <c r="GI41" cm="1">
        <f t="array" ref="GI41">SUMPRODUCT((Y$2:Y$1000="PS")*(F$2:F$1000=FV41)*ISNUMBER(SEARCH("selection",LOWER(Z$2:Z$1000)))*ISNUMBER(SEARCH("hybrid",LOWER(AA$2:AA$1000))))</f>
        <v>0</v>
      </c>
      <c r="GJ41" cm="1">
        <f t="array" ref="GJ41">SUMPRODUCT((Y$2:Y$1000="PS")*(F$2:F$1000=FV41)*ISNUMBER(SEARCH("selection",LOWER(Z$2:Z$1000)))*ISNUMBER(SEARCH("selection",LOWER(AA$2:AA$1000))))</f>
        <v>0</v>
      </c>
      <c r="GK41" cm="1">
        <f t="array" ref="GK41">SUMPRODUCT((Y$2:Y$1000="PS")*(F$2:F$1000=FV41)*ISNUMBER(SEARCH("selection",LOWER(Z$2:Z$1000)))*ISNUMBER(SEARCH("detection",LOWER(AA$2:AA$1000))))</f>
        <v>0</v>
      </c>
      <c r="GL41" cm="1">
        <f t="array" ref="GL41">SUMPRODUCT((Y$2:Y$1000="PS")*(F$2:F$1000=FV41)*ISNUMBER(SEARCH("selection",LOWER(Z$2:Z$1000)))*ISNUMBER(SEARCH("coverage",LOWER(AA$2:AA$1000))))</f>
        <v>0</v>
      </c>
      <c r="GM41" cm="1">
        <f t="array" ref="GM41">SUMPRODUCT((Y$2:Y$1000="PS")*(F$2:F$1000=FV41)*ISNUMBER(SEARCH("selection",LOWER(Z$2:Z$1000)))*ISNUMBER(SEARCH("change",LOWER(AA$2:AA$1000))))</f>
        <v>0</v>
      </c>
      <c r="GN41" cm="1">
        <f t="array" ref="GN41">SUMPRODUCT((Y$2:Y$1000="PS")*(F$2:F$1000=FV41)*ISNUMBER(SEARCH("selection",LOWER(Z$2:Z$1000)))*ISNUMBER(SEARCH("model",LOWER(AA$2:AA$1000))))</f>
        <v>0</v>
      </c>
      <c r="GO41" cm="1">
        <f t="array" ref="GO41">SUMPRODUCT((Y$2:Y$1000="PS")*(F$2:F$1000=FV41)*ISNUMBER(SEARCH("selection",LOWER(Z$2:Z$1000)))*ISNUMBER(SEARCH("hystory",LOWER(AA$2:AA$1000))))</f>
        <v>0</v>
      </c>
      <c r="GP41" cm="1">
        <f t="array" ref="GP41">SUMPRODUCT((Y$2:Y$1000="PS")*(F$2:F$1000=FV41)*ISNUMBER(SEARCH("selection",LOWER(Z$2:Z$1000)))*ISNUMBER(SEARCH("cost-aware",LOWER(AA$2:AA$1000))))</f>
        <v>1</v>
      </c>
      <c r="GQ41" cm="1">
        <f t="array" ref="GQ41">SUMPRODUCT((Y$2:Y$1000="PS")*(F$2:F$1000=FV41)*ISNUMBER(SEARCH("selection",LOWER(Z$2:Z$1000)))*ISNUMBER(SEARCH("similarity",LOWER(AA$2:AA$1000))))</f>
        <v>0</v>
      </c>
      <c r="GR41" s="35" cm="1">
        <f t="array" ref="GR41">SUMPRODUCT((Y$2:Y$1000="PS")*(F$2:F$1000=FV41)*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41">
        <v>2017</v>
      </c>
      <c r="HA41" cm="1">
        <f t="array" ref="HA41">SUMPRODUCT((Y$2:Y$1000="PS")*(F$2:F$1000=GZ41)*ISNUMBER(SEARCH("minimization",LOWER(Z$2:Z$1000)))*ISNUMBER(SEARCH(LOWER(HA$36),LOWER(AB$2:AB$1000))))</f>
        <v>0</v>
      </c>
      <c r="HB41" cm="1">
        <f t="array" ref="HB41">SUMPRODUCT((Y$2:Y$1000="PS")*(F$2:F$1000=GZ41)*ISNUMBER(SEARCH("minimization",LOWER(Z$2:Z$1000)))*ISNUMBER(SEARCH(LOWER(HB$36),LOWER(AB$2:AB$1000))))</f>
        <v>0</v>
      </c>
      <c r="HC41" cm="1">
        <f t="array" ref="HC41">SUMPRODUCT((Y$2:Y$1000="PS")*(F$2:F$1000=GZ41)*ISNUMBER(SEARCH("minimization",LOWER(Z$2:Z$1000)))*ISNUMBER(SEARCH(LOWER(HC$36),LOWER(AB$2:AB$1000))))</f>
        <v>0</v>
      </c>
      <c r="HD41" cm="1">
        <f t="array" ref="HD41">SUMPRODUCT((Y$2:Y$1000="PS")*(F$2:F$1000=GZ41)*ISNUMBER(SEARCH("minimization",LOWER(Z$2:Z$1000)))*ISNUMBER(SEARCH(LOWER(HD$36),LOWER(AB$2:AB$1000))))</f>
        <v>0</v>
      </c>
      <c r="HE41" cm="1">
        <f t="array" ref="HE41">SUMPRODUCT((Y$2:Y$1000="PS")*(F$2:F$1000=GZ41)*ISNUMBER(SEARCH("minimization",LOWER(Z$2:Z$1000)))*ISNUMBER(SEARCH(LOWER(HE$36),LOWER(AB$2:AB$1000))))</f>
        <v>0</v>
      </c>
      <c r="HF41" cm="1">
        <f t="array" ref="HF41">SUMPRODUCT((Y$2:Y$1000="PS")*(F$2:F$1000=GZ41)*ISNUMBER(SEARCH("minimization",LOWER(Z$2:Z$1000)))*ISNUMBER(SEARCH(LOWER(HF$36),LOWER(AB$2:AB$1000))))</f>
        <v>0</v>
      </c>
      <c r="HG41" cm="1">
        <f t="array" ref="HG41">SUMPRODUCT((Y$2:Y$1000="PS")*(F$2:F$1000=GZ41)*ISNUMBER(SEARCH("minimization",LOWER(Z$2:Z$1000)))*ISNUMBER(SEARCH(LOWER(HG$36),LOWER(AB$2:AB$1000))))</f>
        <v>0</v>
      </c>
      <c r="HH41" cm="1">
        <f t="array" ref="HH41">SUMPRODUCT((Y$2:Y$1000="PS")*(F$2:F$1000=GZ41)*ISNUMBER(SEARCH("minimization",LOWER(Z$2:Z$1000)))*ISNUMBER(SEARCH(LOWER(HH$36),LOWER(AB$2:AB$1000))))</f>
        <v>0</v>
      </c>
      <c r="HI41" cm="1">
        <f t="array" ref="HI41">SUMPRODUCT((Y$2:Y$1000="PS")*(F$2:F$1000=GZ41)*ISNUMBER(SEARCH("minimization",LOWER(Z$2:Z$1000)))*ISNUMBER(SEARCH(LOWER(HI$36),LOWER(AB$2:AB$1000))))</f>
        <v>0</v>
      </c>
      <c r="HJ41" cm="1">
        <f t="array" ref="HJ41">SUMPRODUCT((Y$2:Y$1000="PS")*(F$2:F$1000=GZ41)*ISNUMBER(SEARCH("minimization",LOWER(Z$2:Z$1000)))*ISNUMBER(SEARCH(LOWER(HJ$36),LOWER(AB$2:AB$1000))))</f>
        <v>0</v>
      </c>
      <c r="HK41" cm="1">
        <f t="array" ref="HK41">SUMPRODUCT((Y$2:Y$1000="PS")*(F$2:F$1000=GZ41)*ISNUMBER(SEARCH("minimization",LOWER(Z$2:Z$1000)))*ISNUMBER(SEARCH(LOWER(HK$36),LOWER(AB$2:AB$1000))))</f>
        <v>0</v>
      </c>
      <c r="HL41" cm="1">
        <f t="array" ref="HL41">SUMPRODUCT((Y$2:Y$1000="PS")*(F$2:F$1000=GZ41)*ISNUMBER(SEARCH("minimization",LOWER(Z$2:Z$1000)))*ISNUMBER(SEARCH(LOWER(HL$36),LOWER(AB$2:AB$1000))))</f>
        <v>0</v>
      </c>
      <c r="HM41" cm="1">
        <f t="array" ref="HM41">SUMPRODUCT((Y$2:Y$1000="PS")*(F$2:F$1000=GZ41)*ISNUMBER(SEARCH("minimization",LOWER(Z$2:Z$1000)))*ISNUMBER(SEARCH(LOWER(HM$36),LOWER(AB$2:AB$1000))))</f>
        <v>0</v>
      </c>
    </row>
    <row r="42" spans="1:221" ht="100.8">
      <c r="C42" t="s">
        <v>521</v>
      </c>
      <c r="D42" t="s">
        <v>522</v>
      </c>
      <c r="E42" t="s">
        <v>523</v>
      </c>
      <c r="F42">
        <v>2024</v>
      </c>
      <c r="J42" t="s">
        <v>524</v>
      </c>
      <c r="Y42" t="s">
        <v>58</v>
      </c>
      <c r="Z42" s="6" t="s">
        <v>525</v>
      </c>
      <c r="AA42" s="7" t="s">
        <v>526</v>
      </c>
      <c r="AB42" s="7" t="s">
        <v>1383</v>
      </c>
      <c r="AC42" s="6" t="s">
        <v>384</v>
      </c>
      <c r="AD42" s="7" t="s">
        <v>527</v>
      </c>
      <c r="AE42" s="6" t="s">
        <v>528</v>
      </c>
      <c r="AF42" s="7" t="s">
        <v>529</v>
      </c>
      <c r="AG42" s="7" t="s">
        <v>530</v>
      </c>
      <c r="AH42" s="7">
        <v>1</v>
      </c>
      <c r="AK42">
        <f t="shared" si="6"/>
        <v>1</v>
      </c>
      <c r="AL42">
        <f t="shared" si="0"/>
        <v>1</v>
      </c>
      <c r="AM42">
        <f t="shared" si="1"/>
        <v>0</v>
      </c>
      <c r="AN42">
        <f t="shared" si="2"/>
        <v>0</v>
      </c>
      <c r="FQ42" t="s">
        <v>1280</v>
      </c>
      <c r="FR42" s="35" cm="1">
        <f t="array" ref="FR42">SUMPRODUCT((Y$2:Y$1000="PS")*ISNUMBER(SEARCH(LOWER(FQ42),LOWER(AA$2:AA$1000)))*ISNUMBER(SEARCH("selection",LOWER(Z$2:Z$1000))))</f>
        <v>0</v>
      </c>
      <c r="FV42">
        <v>2018</v>
      </c>
      <c r="FW42" s="35" cm="1">
        <f t="array" ref="FW42">SUMPRODUCT((Y$2:Y$1000="PS")*(F$2:F$1000=FV42)*ISNUMBER(SEARCH("selection",LOWER(Z$2:Z$1000)))*ISNUMBER(SEARCH("integer",LOWER(AA$2:AA$1000))))</f>
        <v>3</v>
      </c>
      <c r="FX42" cm="1">
        <f t="array" ref="FX42">SUMPRODUCT((Y$2:Y$1000="PS")*(F$2:F$1000=FV42)*ISNUMBER(SEARCH("selection",LOWER(Z$2:Z$1000)))*ISNUMBER(SEARCH("data-flow",LOWER(AA$2:AA$1000))))</f>
        <v>0</v>
      </c>
      <c r="FY42" cm="1">
        <f t="array" ref="FY42">SUMPRODUCT((Y$2:Y$1000="PS")*(F$2:F$1000=FV42)*ISNUMBER(SEARCH("selection",LOWER(Z$2:Z$1000)))*ISNUMBER(SEARCH("symbolic",LOWER(AA$2:AA$1000))))</f>
        <v>0</v>
      </c>
      <c r="FZ42" cm="1">
        <f t="array" ref="FZ42">SUMPRODUCT((Y$2:Y$1000="PS")*(F$2:F$1000=FV42)*ISNUMBER(SEARCH("selection",LOWER(Z$2:Z$1000)))*ISNUMBER(SEARCH("dynamyc",LOWER(AA$2:AA$1000))))</f>
        <v>0</v>
      </c>
      <c r="GA42" cm="1">
        <f t="array" ref="GA42">SUMPRODUCT((Y$2:Y$1000="PS")*(F$2:F$1000=FV42)*ISNUMBER(SEARCH("selection",LOWER(Z$2:Z$1000)))*ISNUMBER(SEARCH("graph",LOWER(AA$2:AA$1000))))</f>
        <v>1</v>
      </c>
      <c r="GB42" cm="1">
        <f t="array" ref="GB42">SUMPRODUCT((Y$2:Y$1000="PS")*(F$2:F$1000=FV42)*ISNUMBER(SEARCH("selection",LOWER(Z$2:Z$1000)))*ISNUMBER(SEARCH("textual",LOWER(AA$2:AA$1000))))</f>
        <v>0</v>
      </c>
      <c r="GC42" cm="1">
        <f t="array" ref="GC42">SUMPRODUCT((Y$2:Y$1000="PS")*(F$2:F$1000=FV42)*ISNUMBER(SEARCH("selection",LOWER(Z$2:Z$1000)))*ISNUMBER(SEARCH("sdg",LOWER(AA$2:AA$1000))))</f>
        <v>0</v>
      </c>
      <c r="GD42" cm="1">
        <f t="array" ref="GD42">SUMPRODUCT((Y$2:Y$1000="PS")*(F$2:F$1000=FV42)*ISNUMBER(SEARCH("selection",LOWER(Z$2:Z$1000)))*ISNUMBER(SEARCH("path",LOWER(AA$2:AA$1000))))</f>
        <v>0</v>
      </c>
      <c r="GE42" cm="1">
        <f t="array" ref="GE42">SUMPRODUCT((Y$2:Y$1000="PS")*(F$2:F$1000=FV42)*ISNUMBER(SEARCH("selection",LOWER(Z$2:Z$1000)))*ISNUMBER(SEARCH("mod",LOWER(AA$2:AA$1000))))</f>
        <v>0</v>
      </c>
      <c r="GF42" cm="1">
        <f t="array" ref="GF42">SUMPRODUCT((Y$2:Y$1000="PS")*(F$2:F$1000=FV42)*ISNUMBER(SEARCH("selection",LOWER(Z$2:Z$1000)))*ISNUMBER(SEARCH("firewall",LOWER(AA$2:AA$1000))))</f>
        <v>0</v>
      </c>
      <c r="GG42" cm="1">
        <f t="array" ref="GG42">SUMPRODUCT((Y$2:Y$1000="PS")*(F$2:F$1000=FV42)*ISNUMBER(SEARCH("selection",LOWER(Z$2:Z$1000)))*ISNUMBER(SEARCH("cluster",LOWER(AA$2:AA$1000))))</f>
        <v>0</v>
      </c>
      <c r="GH42" cm="1">
        <f t="array" ref="GH42">SUMPRODUCT((Y$2:Y$1000="PS")*(F$2:F$1000=FV42)*ISNUMBER(SEARCH("selection",LOWER(Z$2:Z$1000)))*ISNUMBER(SEARCH("design",LOWER(AA$2:AA$1000))))</f>
        <v>0</v>
      </c>
      <c r="GI42" cm="1">
        <f t="array" ref="GI42">SUMPRODUCT((Y$2:Y$1000="PS")*(F$2:F$1000=FV42)*ISNUMBER(SEARCH("selection",LOWER(Z$2:Z$1000)))*ISNUMBER(SEARCH("hybrid",LOWER(AA$2:AA$1000))))</f>
        <v>0</v>
      </c>
      <c r="GJ42" cm="1">
        <f t="array" ref="GJ42">SUMPRODUCT((Y$2:Y$1000="PS")*(F$2:F$1000=FV42)*ISNUMBER(SEARCH("selection",LOWER(Z$2:Z$1000)))*ISNUMBER(SEARCH("selection",LOWER(AA$2:AA$1000))))</f>
        <v>0</v>
      </c>
      <c r="GK42" cm="1">
        <f t="array" ref="GK42">SUMPRODUCT((Y$2:Y$1000="PS")*(F$2:F$1000=FV42)*ISNUMBER(SEARCH("selection",LOWER(Z$2:Z$1000)))*ISNUMBER(SEARCH("detection",LOWER(AA$2:AA$1000))))</f>
        <v>0</v>
      </c>
      <c r="GL42" cm="1">
        <f t="array" ref="GL42">SUMPRODUCT((Y$2:Y$1000="PS")*(F$2:F$1000=FV42)*ISNUMBER(SEARCH("selection",LOWER(Z$2:Z$1000)))*ISNUMBER(SEARCH("coverage",LOWER(AA$2:AA$1000))))</f>
        <v>0</v>
      </c>
      <c r="GM42" cm="1">
        <f t="array" ref="GM42">SUMPRODUCT((Y$2:Y$1000="PS")*(F$2:F$1000=FV42)*ISNUMBER(SEARCH("selection",LOWER(Z$2:Z$1000)))*ISNUMBER(SEARCH("change",LOWER(AA$2:AA$1000))))</f>
        <v>0</v>
      </c>
      <c r="GN42" cm="1">
        <f t="array" ref="GN42">SUMPRODUCT((Y$2:Y$1000="PS")*(F$2:F$1000=FV42)*ISNUMBER(SEARCH("selection",LOWER(Z$2:Z$1000)))*ISNUMBER(SEARCH("model",LOWER(AA$2:AA$1000))))</f>
        <v>0</v>
      </c>
      <c r="GO42" cm="1">
        <f t="array" ref="GO42">SUMPRODUCT((Y$2:Y$1000="PS")*(F$2:F$1000=FV42)*ISNUMBER(SEARCH("selection",LOWER(Z$2:Z$1000)))*ISNUMBER(SEARCH("hystory",LOWER(AA$2:AA$1000))))</f>
        <v>0</v>
      </c>
      <c r="GP42" cm="1">
        <f t="array" ref="GP42">SUMPRODUCT((Y$2:Y$1000="PS")*(F$2:F$1000=FV42)*ISNUMBER(SEARCH("selection",LOWER(Z$2:Z$1000)))*ISNUMBER(SEARCH("cost-aware",LOWER(AA$2:AA$1000))))</f>
        <v>0</v>
      </c>
      <c r="GQ42" cm="1">
        <f t="array" ref="GQ42">SUMPRODUCT((Y$2:Y$1000="PS")*(F$2:F$1000=FV42)*ISNUMBER(SEARCH("selection",LOWER(Z$2:Z$1000)))*ISNUMBER(SEARCH("similarity",LOWER(AA$2:AA$1000))))</f>
        <v>0</v>
      </c>
      <c r="GR42" s="35" cm="1">
        <f t="array" ref="GR42">SUMPRODUCT((Y$2:Y$1000="PS")*(F$2:F$1000=FV42)*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42">
        <v>2018</v>
      </c>
      <c r="HA42" cm="1">
        <f t="array" ref="HA42">SUMPRODUCT((Y$2:Y$1000="PS")*(F$2:F$1000=GZ42)*ISNUMBER(SEARCH("minimization",LOWER(Z$2:Z$1000)))*ISNUMBER(SEARCH(LOWER(HA$36),LOWER(AB$2:AB$1000))))</f>
        <v>0</v>
      </c>
      <c r="HB42" cm="1">
        <f t="array" ref="HB42">SUMPRODUCT((Y$2:Y$1000="PS")*(F$2:F$1000=GZ42)*ISNUMBER(SEARCH("minimization",LOWER(Z$2:Z$1000)))*ISNUMBER(SEARCH(LOWER(HB$36),LOWER(AB$2:AB$1000))))</f>
        <v>0</v>
      </c>
      <c r="HC42" cm="1">
        <f t="array" ref="HC42">SUMPRODUCT((Y$2:Y$1000="PS")*(F$2:F$1000=GZ42)*ISNUMBER(SEARCH("minimization",LOWER(Z$2:Z$1000)))*ISNUMBER(SEARCH(LOWER(HC$36),LOWER(AB$2:AB$1000))))</f>
        <v>0</v>
      </c>
      <c r="HD42" cm="1">
        <f t="array" ref="HD42">SUMPRODUCT((Y$2:Y$1000="PS")*(F$2:F$1000=GZ42)*ISNUMBER(SEARCH("minimization",LOWER(Z$2:Z$1000)))*ISNUMBER(SEARCH(LOWER(HD$36),LOWER(AB$2:AB$1000))))</f>
        <v>0</v>
      </c>
      <c r="HE42" cm="1">
        <f t="array" ref="HE42">SUMPRODUCT((Y$2:Y$1000="PS")*(F$2:F$1000=GZ42)*ISNUMBER(SEARCH("minimization",LOWER(Z$2:Z$1000)))*ISNUMBER(SEARCH(LOWER(HE$36),LOWER(AB$2:AB$1000))))</f>
        <v>0</v>
      </c>
      <c r="HF42" cm="1">
        <f t="array" ref="HF42">SUMPRODUCT((Y$2:Y$1000="PS")*(F$2:F$1000=GZ42)*ISNUMBER(SEARCH("minimization",LOWER(Z$2:Z$1000)))*ISNUMBER(SEARCH(LOWER(HF$36),LOWER(AB$2:AB$1000))))</f>
        <v>0</v>
      </c>
      <c r="HG42" cm="1">
        <f t="array" ref="HG42">SUMPRODUCT((Y$2:Y$1000="PS")*(F$2:F$1000=GZ42)*ISNUMBER(SEARCH("minimization",LOWER(Z$2:Z$1000)))*ISNUMBER(SEARCH(LOWER(HG$36),LOWER(AB$2:AB$1000))))</f>
        <v>0</v>
      </c>
      <c r="HH42" cm="1">
        <f t="array" ref="HH42">SUMPRODUCT((Y$2:Y$1000="PS")*(F$2:F$1000=GZ42)*ISNUMBER(SEARCH("minimization",LOWER(Z$2:Z$1000)))*ISNUMBER(SEARCH(LOWER(HH$36),LOWER(AB$2:AB$1000))))</f>
        <v>0</v>
      </c>
      <c r="HI42" cm="1">
        <f t="array" ref="HI42">SUMPRODUCT((Y$2:Y$1000="PS")*(F$2:F$1000=GZ42)*ISNUMBER(SEARCH("minimization",LOWER(Z$2:Z$1000)))*ISNUMBER(SEARCH(LOWER(HI$36),LOWER(AB$2:AB$1000))))</f>
        <v>0</v>
      </c>
      <c r="HJ42" cm="1">
        <f t="array" ref="HJ42">SUMPRODUCT((Y$2:Y$1000="PS")*(F$2:F$1000=GZ42)*ISNUMBER(SEARCH("minimization",LOWER(Z$2:Z$1000)))*ISNUMBER(SEARCH(LOWER(HJ$36),LOWER(AB$2:AB$1000))))</f>
        <v>0</v>
      </c>
      <c r="HK42" cm="1">
        <f t="array" ref="HK42">SUMPRODUCT((Y$2:Y$1000="PS")*(F$2:F$1000=GZ42)*ISNUMBER(SEARCH("minimization",LOWER(Z$2:Z$1000)))*ISNUMBER(SEARCH(LOWER(HK$36),LOWER(AB$2:AB$1000))))</f>
        <v>0</v>
      </c>
      <c r="HL42" cm="1">
        <f t="array" ref="HL42">SUMPRODUCT((Y$2:Y$1000="PS")*(F$2:F$1000=GZ42)*ISNUMBER(SEARCH("minimization",LOWER(Z$2:Z$1000)))*ISNUMBER(SEARCH(LOWER(HL$36),LOWER(AB$2:AB$1000))))</f>
        <v>0</v>
      </c>
      <c r="HM42" cm="1">
        <f t="array" ref="HM42">SUMPRODUCT((Y$2:Y$1000="PS")*(F$2:F$1000=GZ42)*ISNUMBER(SEARCH("minimization",LOWER(Z$2:Z$1000)))*ISNUMBER(SEARCH(LOWER(HM$36),LOWER(AB$2:AB$1000))))</f>
        <v>0</v>
      </c>
    </row>
    <row r="43" spans="1:221" ht="57.6">
      <c r="C43" t="s">
        <v>531</v>
      </c>
      <c r="D43" t="s">
        <v>532</v>
      </c>
      <c r="E43" t="s">
        <v>533</v>
      </c>
      <c r="F43">
        <v>2023</v>
      </c>
      <c r="J43" t="s">
        <v>534</v>
      </c>
      <c r="Y43" t="s">
        <v>44</v>
      </c>
      <c r="Z43" s="6" t="s">
        <v>535</v>
      </c>
      <c r="AA43" s="16"/>
      <c r="AB43" s="16"/>
      <c r="AC43" s="16"/>
      <c r="AD43" s="16"/>
      <c r="AE43" s="16"/>
      <c r="AF43" s="16"/>
      <c r="AG43" s="16"/>
      <c r="AH43" s="16"/>
      <c r="AK43">
        <f t="shared" si="6"/>
        <v>0</v>
      </c>
      <c r="AL43">
        <f t="shared" si="0"/>
        <v>0</v>
      </c>
      <c r="AM43">
        <f t="shared" si="1"/>
        <v>0</v>
      </c>
      <c r="AN43">
        <f t="shared" si="2"/>
        <v>0</v>
      </c>
      <c r="FQ43" t="s">
        <v>1275</v>
      </c>
      <c r="FR43" s="35" cm="1">
        <f t="array" ref="FR43">SUMPRODUCT((Y$2:Y$1000="PS")*ISNUMBER(SEARCH(LOWER(FQ43),LOWER(AA$2:AA$1000)))*ISNUMBER(SEARCH("selection",LOWER(Z$2:Z$1000))))</f>
        <v>0</v>
      </c>
      <c r="FV43">
        <v>2019</v>
      </c>
      <c r="FW43" s="35" cm="1">
        <f t="array" ref="FW43">SUMPRODUCT((Y$2:Y$1000="PS")*(F$2:F$1000=FV43)*ISNUMBER(SEARCH("selection",LOWER(Z$2:Z$1000)))*ISNUMBER(SEARCH("integer",LOWER(AA$2:AA$1000))))</f>
        <v>1</v>
      </c>
      <c r="FX43" cm="1">
        <f t="array" ref="FX43">SUMPRODUCT((Y$2:Y$1000="PS")*(F$2:F$1000=FV43)*ISNUMBER(SEARCH("selection",LOWER(Z$2:Z$1000)))*ISNUMBER(SEARCH("data-flow",LOWER(AA$2:AA$1000))))</f>
        <v>0</v>
      </c>
      <c r="FY43" cm="1">
        <f t="array" ref="FY43">SUMPRODUCT((Y$2:Y$1000="PS")*(F$2:F$1000=FV43)*ISNUMBER(SEARCH("selection",LOWER(Z$2:Z$1000)))*ISNUMBER(SEARCH("symbolic",LOWER(AA$2:AA$1000))))</f>
        <v>0</v>
      </c>
      <c r="FZ43" cm="1">
        <f t="array" ref="FZ43">SUMPRODUCT((Y$2:Y$1000="PS")*(F$2:F$1000=FV43)*ISNUMBER(SEARCH("selection",LOWER(Z$2:Z$1000)))*ISNUMBER(SEARCH("dynamyc",LOWER(AA$2:AA$1000))))</f>
        <v>0</v>
      </c>
      <c r="GA43" cm="1">
        <f t="array" ref="GA43">SUMPRODUCT((Y$2:Y$1000="PS")*(F$2:F$1000=FV43)*ISNUMBER(SEARCH("selection",LOWER(Z$2:Z$1000)))*ISNUMBER(SEARCH("graph",LOWER(AA$2:AA$1000))))</f>
        <v>0</v>
      </c>
      <c r="GB43" cm="1">
        <f t="array" ref="GB43">SUMPRODUCT((Y$2:Y$1000="PS")*(F$2:F$1000=FV43)*ISNUMBER(SEARCH("selection",LOWER(Z$2:Z$1000)))*ISNUMBER(SEARCH("textual",LOWER(AA$2:AA$1000))))</f>
        <v>0</v>
      </c>
      <c r="GC43" cm="1">
        <f t="array" ref="GC43">SUMPRODUCT((Y$2:Y$1000="PS")*(F$2:F$1000=FV43)*ISNUMBER(SEARCH("selection",LOWER(Z$2:Z$1000)))*ISNUMBER(SEARCH("sdg",LOWER(AA$2:AA$1000))))</f>
        <v>0</v>
      </c>
      <c r="GD43" cm="1">
        <f t="array" ref="GD43">SUMPRODUCT((Y$2:Y$1000="PS")*(F$2:F$1000=FV43)*ISNUMBER(SEARCH("selection",LOWER(Z$2:Z$1000)))*ISNUMBER(SEARCH("path",LOWER(AA$2:AA$1000))))</f>
        <v>0</v>
      </c>
      <c r="GE43" cm="1">
        <f t="array" ref="GE43">SUMPRODUCT((Y$2:Y$1000="PS")*(F$2:F$1000=FV43)*ISNUMBER(SEARCH("selection",LOWER(Z$2:Z$1000)))*ISNUMBER(SEARCH("mod",LOWER(AA$2:AA$1000))))</f>
        <v>0</v>
      </c>
      <c r="GF43" cm="1">
        <f t="array" ref="GF43">SUMPRODUCT((Y$2:Y$1000="PS")*(F$2:F$1000=FV43)*ISNUMBER(SEARCH("selection",LOWER(Z$2:Z$1000)))*ISNUMBER(SEARCH("firewall",LOWER(AA$2:AA$1000))))</f>
        <v>0</v>
      </c>
      <c r="GG43" cm="1">
        <f t="array" ref="GG43">SUMPRODUCT((Y$2:Y$1000="PS")*(F$2:F$1000=FV43)*ISNUMBER(SEARCH("selection",LOWER(Z$2:Z$1000)))*ISNUMBER(SEARCH("cluster",LOWER(AA$2:AA$1000))))</f>
        <v>0</v>
      </c>
      <c r="GH43" cm="1">
        <f t="array" ref="GH43">SUMPRODUCT((Y$2:Y$1000="PS")*(F$2:F$1000=FV43)*ISNUMBER(SEARCH("selection",LOWER(Z$2:Z$1000)))*ISNUMBER(SEARCH("design",LOWER(AA$2:AA$1000))))</f>
        <v>0</v>
      </c>
      <c r="GI43" cm="1">
        <f t="array" ref="GI43">SUMPRODUCT((Y$2:Y$1000="PS")*(F$2:F$1000=FV43)*ISNUMBER(SEARCH("selection",LOWER(Z$2:Z$1000)))*ISNUMBER(SEARCH("hybrid",LOWER(AA$2:AA$1000))))</f>
        <v>0</v>
      </c>
      <c r="GJ43" cm="1">
        <f t="array" ref="GJ43">SUMPRODUCT((Y$2:Y$1000="PS")*(F$2:F$1000=FV43)*ISNUMBER(SEARCH("selection",LOWER(Z$2:Z$1000)))*ISNUMBER(SEARCH("selection",LOWER(AA$2:AA$1000))))</f>
        <v>0</v>
      </c>
      <c r="GK43" cm="1">
        <f t="array" ref="GK43">SUMPRODUCT((Y$2:Y$1000="PS")*(F$2:F$1000=FV43)*ISNUMBER(SEARCH("selection",LOWER(Z$2:Z$1000)))*ISNUMBER(SEARCH("detection",LOWER(AA$2:AA$1000))))</f>
        <v>0</v>
      </c>
      <c r="GL43" cm="1">
        <f t="array" ref="GL43">SUMPRODUCT((Y$2:Y$1000="PS")*(F$2:F$1000=FV43)*ISNUMBER(SEARCH("selection",LOWER(Z$2:Z$1000)))*ISNUMBER(SEARCH("coverage",LOWER(AA$2:AA$1000))))</f>
        <v>0</v>
      </c>
      <c r="GM43" cm="1">
        <f t="array" ref="GM43">SUMPRODUCT((Y$2:Y$1000="PS")*(F$2:F$1000=FV43)*ISNUMBER(SEARCH("selection",LOWER(Z$2:Z$1000)))*ISNUMBER(SEARCH("change",LOWER(AA$2:AA$1000))))</f>
        <v>0</v>
      </c>
      <c r="GN43" cm="1">
        <f t="array" ref="GN43">SUMPRODUCT((Y$2:Y$1000="PS")*(F$2:F$1000=FV43)*ISNUMBER(SEARCH("selection",LOWER(Z$2:Z$1000)))*ISNUMBER(SEARCH("model",LOWER(AA$2:AA$1000))))</f>
        <v>0</v>
      </c>
      <c r="GO43" cm="1">
        <f t="array" ref="GO43">SUMPRODUCT((Y$2:Y$1000="PS")*(F$2:F$1000=FV43)*ISNUMBER(SEARCH("selection",LOWER(Z$2:Z$1000)))*ISNUMBER(SEARCH("hystory",LOWER(AA$2:AA$1000))))</f>
        <v>0</v>
      </c>
      <c r="GP43" cm="1">
        <f t="array" ref="GP43">SUMPRODUCT((Y$2:Y$1000="PS")*(F$2:F$1000=FV43)*ISNUMBER(SEARCH("selection",LOWER(Z$2:Z$1000)))*ISNUMBER(SEARCH("cost-aware",LOWER(AA$2:AA$1000))))</f>
        <v>0</v>
      </c>
      <c r="GQ43" cm="1">
        <f t="array" ref="GQ43">SUMPRODUCT((Y$2:Y$1000="PS")*(F$2:F$1000=FV43)*ISNUMBER(SEARCH("selection",LOWER(Z$2:Z$1000)))*ISNUMBER(SEARCH("similarity",LOWER(AA$2:AA$1000))))</f>
        <v>0</v>
      </c>
      <c r="GR43" s="35" cm="1">
        <f t="array" ref="GR43">SUMPRODUCT((Y$2:Y$1000="PS")*(F$2:F$1000=FV43)*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1</v>
      </c>
      <c r="GZ43">
        <v>2019</v>
      </c>
      <c r="HA43" cm="1">
        <f t="array" ref="HA43">SUMPRODUCT((Y$2:Y$1000="PS")*(F$2:F$1000=GZ43)*ISNUMBER(SEARCH("minimization",LOWER(Z$2:Z$1000)))*ISNUMBER(SEARCH(LOWER(HA$36),LOWER(AB$2:AB$1000))))</f>
        <v>0</v>
      </c>
      <c r="HB43" cm="1">
        <f t="array" ref="HB43">SUMPRODUCT((Y$2:Y$1000="PS")*(F$2:F$1000=GZ43)*ISNUMBER(SEARCH("minimization",LOWER(Z$2:Z$1000)))*ISNUMBER(SEARCH(LOWER(HB$36),LOWER(AB$2:AB$1000))))</f>
        <v>0</v>
      </c>
      <c r="HC43" cm="1">
        <f t="array" ref="HC43">SUMPRODUCT((Y$2:Y$1000="PS")*(F$2:F$1000=GZ43)*ISNUMBER(SEARCH("minimization",LOWER(Z$2:Z$1000)))*ISNUMBER(SEARCH(LOWER(HC$36),LOWER(AB$2:AB$1000))))</f>
        <v>0</v>
      </c>
      <c r="HD43" cm="1">
        <f t="array" ref="HD43">SUMPRODUCT((Y$2:Y$1000="PS")*(F$2:F$1000=GZ43)*ISNUMBER(SEARCH("minimization",LOWER(Z$2:Z$1000)))*ISNUMBER(SEARCH(LOWER(HD$36),LOWER(AB$2:AB$1000))))</f>
        <v>0</v>
      </c>
      <c r="HE43" cm="1">
        <f t="array" ref="HE43">SUMPRODUCT((Y$2:Y$1000="PS")*(F$2:F$1000=GZ43)*ISNUMBER(SEARCH("minimization",LOWER(Z$2:Z$1000)))*ISNUMBER(SEARCH(LOWER(HE$36),LOWER(AB$2:AB$1000))))</f>
        <v>0</v>
      </c>
      <c r="HF43" cm="1">
        <f t="array" ref="HF43">SUMPRODUCT((Y$2:Y$1000="PS")*(F$2:F$1000=GZ43)*ISNUMBER(SEARCH("minimization",LOWER(Z$2:Z$1000)))*ISNUMBER(SEARCH(LOWER(HF$36),LOWER(AB$2:AB$1000))))</f>
        <v>0</v>
      </c>
      <c r="HG43" cm="1">
        <f t="array" ref="HG43">SUMPRODUCT((Y$2:Y$1000="PS")*(F$2:F$1000=GZ43)*ISNUMBER(SEARCH("minimization",LOWER(Z$2:Z$1000)))*ISNUMBER(SEARCH(LOWER(HG$36),LOWER(AB$2:AB$1000))))</f>
        <v>0</v>
      </c>
      <c r="HH43" cm="1">
        <f t="array" ref="HH43">SUMPRODUCT((Y$2:Y$1000="PS")*(F$2:F$1000=GZ43)*ISNUMBER(SEARCH("minimization",LOWER(Z$2:Z$1000)))*ISNUMBER(SEARCH(LOWER(HH$36),LOWER(AB$2:AB$1000))))</f>
        <v>0</v>
      </c>
      <c r="HI43" cm="1">
        <f t="array" ref="HI43">SUMPRODUCT((Y$2:Y$1000="PS")*(F$2:F$1000=GZ43)*ISNUMBER(SEARCH("minimization",LOWER(Z$2:Z$1000)))*ISNUMBER(SEARCH(LOWER(HI$36),LOWER(AB$2:AB$1000))))</f>
        <v>0</v>
      </c>
      <c r="HJ43" cm="1">
        <f t="array" ref="HJ43">SUMPRODUCT((Y$2:Y$1000="PS")*(F$2:F$1000=GZ43)*ISNUMBER(SEARCH("minimization",LOWER(Z$2:Z$1000)))*ISNUMBER(SEARCH(LOWER(HJ$36),LOWER(AB$2:AB$1000))))</f>
        <v>0</v>
      </c>
      <c r="HK43" cm="1">
        <f t="array" ref="HK43">SUMPRODUCT((Y$2:Y$1000="PS")*(F$2:F$1000=GZ43)*ISNUMBER(SEARCH("minimization",LOWER(Z$2:Z$1000)))*ISNUMBER(SEARCH(LOWER(HK$36),LOWER(AB$2:AB$1000))))</f>
        <v>0</v>
      </c>
      <c r="HL43" cm="1">
        <f t="array" ref="HL43">SUMPRODUCT((Y$2:Y$1000="PS")*(F$2:F$1000=GZ43)*ISNUMBER(SEARCH("minimization",LOWER(Z$2:Z$1000)))*ISNUMBER(SEARCH(LOWER(HL$36),LOWER(AB$2:AB$1000))))</f>
        <v>0</v>
      </c>
      <c r="HM43" cm="1">
        <f t="array" ref="HM43">SUMPRODUCT((Y$2:Y$1000="PS")*(F$2:F$1000=GZ43)*ISNUMBER(SEARCH("minimization",LOWER(Z$2:Z$1000)))*ISNUMBER(SEARCH(LOWER(HM$36),LOWER(AB$2:AB$1000))))</f>
        <v>0</v>
      </c>
    </row>
    <row r="44" spans="1:221" ht="100.8">
      <c r="C44" t="s">
        <v>536</v>
      </c>
      <c r="D44" t="s">
        <v>537</v>
      </c>
      <c r="E44" t="s">
        <v>538</v>
      </c>
      <c r="F44">
        <v>2024</v>
      </c>
      <c r="J44" t="s">
        <v>539</v>
      </c>
      <c r="Y44" t="s">
        <v>58</v>
      </c>
      <c r="Z44" s="6" t="s">
        <v>540</v>
      </c>
      <c r="AA44" s="7" t="s">
        <v>1273</v>
      </c>
      <c r="AB44" s="7" t="s">
        <v>91</v>
      </c>
      <c r="AC44" s="7"/>
      <c r="AD44" s="7" t="s">
        <v>541</v>
      </c>
      <c r="AE44" s="6" t="s">
        <v>542</v>
      </c>
      <c r="AF44" s="7" t="s">
        <v>543</v>
      </c>
      <c r="AG44" s="7" t="s">
        <v>544</v>
      </c>
      <c r="AH44" s="7">
        <v>1</v>
      </c>
      <c r="AK44">
        <f t="shared" si="6"/>
        <v>1</v>
      </c>
      <c r="AL44">
        <f t="shared" si="0"/>
        <v>0</v>
      </c>
      <c r="AM44">
        <f t="shared" si="1"/>
        <v>0</v>
      </c>
      <c r="AN44">
        <f t="shared" si="2"/>
        <v>1</v>
      </c>
      <c r="FQ44" t="s">
        <v>1274</v>
      </c>
      <c r="FR44" s="35" cm="1">
        <f t="array" ref="FR44">SUMPRODUCT((Y$2:Y$1000="PS")*ISNUMBER(SEARCH(LOWER(FQ44),LOWER(AA$2:AA$1000)))*ISNUMBER(SEARCH("selection",LOWER(Z$2:Z$1000))))</f>
        <v>3</v>
      </c>
      <c r="FV44">
        <v>2020</v>
      </c>
      <c r="FW44" s="35" cm="1">
        <f t="array" ref="FW44">SUMPRODUCT((Y$2:Y$1000="PS")*(F$2:F$1000=FV44)*ISNUMBER(SEARCH("selection",LOWER(Z$2:Z$1000)))*ISNUMBER(SEARCH("integer",LOWER(AA$2:AA$1000))))</f>
        <v>1</v>
      </c>
      <c r="FX44" cm="1">
        <f t="array" ref="FX44">SUMPRODUCT((Y$2:Y$1000="PS")*(F$2:F$1000=FV44)*ISNUMBER(SEARCH("selection",LOWER(Z$2:Z$1000)))*ISNUMBER(SEARCH("data-flow",LOWER(AA$2:AA$1000))))</f>
        <v>0</v>
      </c>
      <c r="FY44" cm="1">
        <f t="array" ref="FY44">SUMPRODUCT((Y$2:Y$1000="PS")*(F$2:F$1000=FV44)*ISNUMBER(SEARCH("selection",LOWER(Z$2:Z$1000)))*ISNUMBER(SEARCH("symbolic",LOWER(AA$2:AA$1000))))</f>
        <v>0</v>
      </c>
      <c r="FZ44" cm="1">
        <f t="array" ref="FZ44">SUMPRODUCT((Y$2:Y$1000="PS")*(F$2:F$1000=FV44)*ISNUMBER(SEARCH("selection",LOWER(Z$2:Z$1000)))*ISNUMBER(SEARCH("dynamyc",LOWER(AA$2:AA$1000))))</f>
        <v>0</v>
      </c>
      <c r="GA44" cm="1">
        <f t="array" ref="GA44">SUMPRODUCT((Y$2:Y$1000="PS")*(F$2:F$1000=FV44)*ISNUMBER(SEARCH("selection",LOWER(Z$2:Z$1000)))*ISNUMBER(SEARCH("graph",LOWER(AA$2:AA$1000))))</f>
        <v>0</v>
      </c>
      <c r="GB44" cm="1">
        <f t="array" ref="GB44">SUMPRODUCT((Y$2:Y$1000="PS")*(F$2:F$1000=FV44)*ISNUMBER(SEARCH("selection",LOWER(Z$2:Z$1000)))*ISNUMBER(SEARCH("textual",LOWER(AA$2:AA$1000))))</f>
        <v>0</v>
      </c>
      <c r="GC44" cm="1">
        <f t="array" ref="GC44">SUMPRODUCT((Y$2:Y$1000="PS")*(F$2:F$1000=FV44)*ISNUMBER(SEARCH("selection",LOWER(Z$2:Z$1000)))*ISNUMBER(SEARCH("sdg",LOWER(AA$2:AA$1000))))</f>
        <v>0</v>
      </c>
      <c r="GD44" cm="1">
        <f t="array" ref="GD44">SUMPRODUCT((Y$2:Y$1000="PS")*(F$2:F$1000=FV44)*ISNUMBER(SEARCH("selection",LOWER(Z$2:Z$1000)))*ISNUMBER(SEARCH("path",LOWER(AA$2:AA$1000))))</f>
        <v>0</v>
      </c>
      <c r="GE44" cm="1">
        <f t="array" ref="GE44">SUMPRODUCT((Y$2:Y$1000="PS")*(F$2:F$1000=FV44)*ISNUMBER(SEARCH("selection",LOWER(Z$2:Z$1000)))*ISNUMBER(SEARCH("mod",LOWER(AA$2:AA$1000))))</f>
        <v>0</v>
      </c>
      <c r="GF44" cm="1">
        <f t="array" ref="GF44">SUMPRODUCT((Y$2:Y$1000="PS")*(F$2:F$1000=FV44)*ISNUMBER(SEARCH("selection",LOWER(Z$2:Z$1000)))*ISNUMBER(SEARCH("firewall",LOWER(AA$2:AA$1000))))</f>
        <v>0</v>
      </c>
      <c r="GG44" cm="1">
        <f t="array" ref="GG44">SUMPRODUCT((Y$2:Y$1000="PS")*(F$2:F$1000=FV44)*ISNUMBER(SEARCH("selection",LOWER(Z$2:Z$1000)))*ISNUMBER(SEARCH("cluster",LOWER(AA$2:AA$1000))))</f>
        <v>0</v>
      </c>
      <c r="GH44" cm="1">
        <f t="array" ref="GH44">SUMPRODUCT((Y$2:Y$1000="PS")*(F$2:F$1000=FV44)*ISNUMBER(SEARCH("selection",LOWER(Z$2:Z$1000)))*ISNUMBER(SEARCH("design",LOWER(AA$2:AA$1000))))</f>
        <v>0</v>
      </c>
      <c r="GI44" cm="1">
        <f t="array" ref="GI44">SUMPRODUCT((Y$2:Y$1000="PS")*(F$2:F$1000=FV44)*ISNUMBER(SEARCH("selection",LOWER(Z$2:Z$1000)))*ISNUMBER(SEARCH("hybrid",LOWER(AA$2:AA$1000))))</f>
        <v>0</v>
      </c>
      <c r="GJ44" cm="1">
        <f t="array" ref="GJ44">SUMPRODUCT((Y$2:Y$1000="PS")*(F$2:F$1000=FV44)*ISNUMBER(SEARCH("selection",LOWER(Z$2:Z$1000)))*ISNUMBER(SEARCH("selection",LOWER(AA$2:AA$1000))))</f>
        <v>0</v>
      </c>
      <c r="GK44" cm="1">
        <f t="array" ref="GK44">SUMPRODUCT((Y$2:Y$1000="PS")*(F$2:F$1000=FV44)*ISNUMBER(SEARCH("selection",LOWER(Z$2:Z$1000)))*ISNUMBER(SEARCH("detection",LOWER(AA$2:AA$1000))))</f>
        <v>0</v>
      </c>
      <c r="GL44" cm="1">
        <f t="array" ref="GL44">SUMPRODUCT((Y$2:Y$1000="PS")*(F$2:F$1000=FV44)*ISNUMBER(SEARCH("selection",LOWER(Z$2:Z$1000)))*ISNUMBER(SEARCH("coverage",LOWER(AA$2:AA$1000))))</f>
        <v>0</v>
      </c>
      <c r="GM44" cm="1">
        <f t="array" ref="GM44">SUMPRODUCT((Y$2:Y$1000="PS")*(F$2:F$1000=FV44)*ISNUMBER(SEARCH("selection",LOWER(Z$2:Z$1000)))*ISNUMBER(SEARCH("change",LOWER(AA$2:AA$1000))))</f>
        <v>0</v>
      </c>
      <c r="GN44" cm="1">
        <f t="array" ref="GN44">SUMPRODUCT((Y$2:Y$1000="PS")*(F$2:F$1000=FV44)*ISNUMBER(SEARCH("selection",LOWER(Z$2:Z$1000)))*ISNUMBER(SEARCH("model",LOWER(AA$2:AA$1000))))</f>
        <v>0</v>
      </c>
      <c r="GO44" cm="1">
        <f t="array" ref="GO44">SUMPRODUCT((Y$2:Y$1000="PS")*(F$2:F$1000=FV44)*ISNUMBER(SEARCH("selection",LOWER(Z$2:Z$1000)))*ISNUMBER(SEARCH("hystory",LOWER(AA$2:AA$1000))))</f>
        <v>0</v>
      </c>
      <c r="GP44" cm="1">
        <f t="array" ref="GP44">SUMPRODUCT((Y$2:Y$1000="PS")*(F$2:F$1000=FV44)*ISNUMBER(SEARCH("selection",LOWER(Z$2:Z$1000)))*ISNUMBER(SEARCH("cost-aware",LOWER(AA$2:AA$1000))))</f>
        <v>0</v>
      </c>
      <c r="GQ44" cm="1">
        <f t="array" ref="GQ44">SUMPRODUCT((Y$2:Y$1000="PS")*(F$2:F$1000=FV44)*ISNUMBER(SEARCH("selection",LOWER(Z$2:Z$1000)))*ISNUMBER(SEARCH("similarity",LOWER(AA$2:AA$1000))))</f>
        <v>0</v>
      </c>
      <c r="GR44" s="35" cm="1">
        <f t="array" ref="GR44">SUMPRODUCT((Y$2:Y$1000="PS")*(F$2:F$1000=FV44)*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44">
        <v>2020</v>
      </c>
      <c r="HA44" cm="1">
        <f t="array" ref="HA44">SUMPRODUCT((Y$2:Y$1000="PS")*(F$2:F$1000=GZ44)*ISNUMBER(SEARCH("minimization",LOWER(Z$2:Z$1000)))*ISNUMBER(SEARCH(LOWER(HA$36),LOWER(AB$2:AB$1000))))</f>
        <v>0</v>
      </c>
      <c r="HB44" cm="1">
        <f t="array" ref="HB44">SUMPRODUCT((Y$2:Y$1000="PS")*(F$2:F$1000=GZ44)*ISNUMBER(SEARCH("minimization",LOWER(Z$2:Z$1000)))*ISNUMBER(SEARCH(LOWER(HB$36),LOWER(AB$2:AB$1000))))</f>
        <v>0</v>
      </c>
      <c r="HC44" cm="1">
        <f t="array" ref="HC44">SUMPRODUCT((Y$2:Y$1000="PS")*(F$2:F$1000=GZ44)*ISNUMBER(SEARCH("minimization",LOWER(Z$2:Z$1000)))*ISNUMBER(SEARCH(LOWER(HC$36),LOWER(AB$2:AB$1000))))</f>
        <v>0</v>
      </c>
      <c r="HD44" cm="1">
        <f t="array" ref="HD44">SUMPRODUCT((Y$2:Y$1000="PS")*(F$2:F$1000=GZ44)*ISNUMBER(SEARCH("minimization",LOWER(Z$2:Z$1000)))*ISNUMBER(SEARCH(LOWER(HD$36),LOWER(AB$2:AB$1000))))</f>
        <v>0</v>
      </c>
      <c r="HE44" cm="1">
        <f t="array" ref="HE44">SUMPRODUCT((Y$2:Y$1000="PS")*(F$2:F$1000=GZ44)*ISNUMBER(SEARCH("minimization",LOWER(Z$2:Z$1000)))*ISNUMBER(SEARCH(LOWER(HE$36),LOWER(AB$2:AB$1000))))</f>
        <v>0</v>
      </c>
      <c r="HF44" cm="1">
        <f t="array" ref="HF44">SUMPRODUCT((Y$2:Y$1000="PS")*(F$2:F$1000=GZ44)*ISNUMBER(SEARCH("minimization",LOWER(Z$2:Z$1000)))*ISNUMBER(SEARCH(LOWER(HF$36),LOWER(AB$2:AB$1000))))</f>
        <v>0</v>
      </c>
      <c r="HG44" cm="1">
        <f t="array" ref="HG44">SUMPRODUCT((Y$2:Y$1000="PS")*(F$2:F$1000=GZ44)*ISNUMBER(SEARCH("minimization",LOWER(Z$2:Z$1000)))*ISNUMBER(SEARCH(LOWER(HG$36),LOWER(AB$2:AB$1000))))</f>
        <v>0</v>
      </c>
      <c r="HH44" cm="1">
        <f t="array" ref="HH44">SUMPRODUCT((Y$2:Y$1000="PS")*(F$2:F$1000=GZ44)*ISNUMBER(SEARCH("minimization",LOWER(Z$2:Z$1000)))*ISNUMBER(SEARCH(LOWER(HH$36),LOWER(AB$2:AB$1000))))</f>
        <v>0</v>
      </c>
      <c r="HI44" cm="1">
        <f t="array" ref="HI44">SUMPRODUCT((Y$2:Y$1000="PS")*(F$2:F$1000=GZ44)*ISNUMBER(SEARCH("minimization",LOWER(Z$2:Z$1000)))*ISNUMBER(SEARCH(LOWER(HI$36),LOWER(AB$2:AB$1000))))</f>
        <v>0</v>
      </c>
      <c r="HJ44" cm="1">
        <f t="array" ref="HJ44">SUMPRODUCT((Y$2:Y$1000="PS")*(F$2:F$1000=GZ44)*ISNUMBER(SEARCH("minimization",LOWER(Z$2:Z$1000)))*ISNUMBER(SEARCH(LOWER(HJ$36),LOWER(AB$2:AB$1000))))</f>
        <v>0</v>
      </c>
      <c r="HK44" cm="1">
        <f t="array" ref="HK44">SUMPRODUCT((Y$2:Y$1000="PS")*(F$2:F$1000=GZ44)*ISNUMBER(SEARCH("minimization",LOWER(Z$2:Z$1000)))*ISNUMBER(SEARCH(LOWER(HK$36),LOWER(AB$2:AB$1000))))</f>
        <v>0</v>
      </c>
      <c r="HL44" cm="1">
        <f t="array" ref="HL44">SUMPRODUCT((Y$2:Y$1000="PS")*(F$2:F$1000=GZ44)*ISNUMBER(SEARCH("minimization",LOWER(Z$2:Z$1000)))*ISNUMBER(SEARCH(LOWER(HL$36),LOWER(AB$2:AB$1000))))</f>
        <v>0</v>
      </c>
      <c r="HM44" cm="1">
        <f t="array" ref="HM44">SUMPRODUCT((Y$2:Y$1000="PS")*(F$2:F$1000=GZ44)*ISNUMBER(SEARCH("minimization",LOWER(Z$2:Z$1000)))*ISNUMBER(SEARCH(LOWER(HM$36),LOWER(AB$2:AB$1000))))</f>
        <v>0</v>
      </c>
    </row>
    <row r="45" spans="1:221" ht="158.4">
      <c r="C45" t="s">
        <v>545</v>
      </c>
      <c r="D45" t="s">
        <v>546</v>
      </c>
      <c r="E45" t="s">
        <v>547</v>
      </c>
      <c r="F45">
        <v>2022</v>
      </c>
      <c r="J45" t="s">
        <v>548</v>
      </c>
      <c r="Y45" t="s">
        <v>58</v>
      </c>
      <c r="Z45" s="6" t="s">
        <v>549</v>
      </c>
      <c r="AA45" s="7" t="s">
        <v>408</v>
      </c>
      <c r="AB45" s="7" t="s">
        <v>1315</v>
      </c>
      <c r="AC45" s="8"/>
      <c r="AD45" s="7" t="s">
        <v>551</v>
      </c>
      <c r="AE45" s="6" t="s">
        <v>552</v>
      </c>
      <c r="AF45" s="7" t="s">
        <v>553</v>
      </c>
      <c r="AG45" s="7" t="s">
        <v>554</v>
      </c>
      <c r="AH45" s="6" t="s">
        <v>555</v>
      </c>
      <c r="AK45">
        <f t="shared" si="6"/>
        <v>1</v>
      </c>
      <c r="AL45">
        <f t="shared" si="0"/>
        <v>0</v>
      </c>
      <c r="AM45">
        <f t="shared" si="1"/>
        <v>0</v>
      </c>
      <c r="AN45">
        <f t="shared" si="2"/>
        <v>1</v>
      </c>
      <c r="FQ45" t="s">
        <v>1276</v>
      </c>
      <c r="FR45" s="35" cm="1">
        <f t="array" ref="FR45">SUMPRODUCT((Y$2:Y$1000="PS")*ISNUMBER(SEARCH(LOWER(FQ45),LOWER(AA$2:AA$1000)))*ISNUMBER(SEARCH("selection",LOWER(Z$2:Z$1000))))</f>
        <v>1</v>
      </c>
      <c r="FV45">
        <v>2021</v>
      </c>
      <c r="FW45" s="35" cm="1">
        <f t="array" ref="FW45">SUMPRODUCT((Y$2:Y$1000="PS")*(F$2:F$1000=FV45)*ISNUMBER(SEARCH("selection",LOWER(Z$2:Z$1000)))*ISNUMBER(SEARCH("integer",LOWER(AA$2:AA$1000))))</f>
        <v>0</v>
      </c>
      <c r="FX45" cm="1">
        <f t="array" ref="FX45">SUMPRODUCT((Y$2:Y$1000="PS")*(F$2:F$1000=FV45)*ISNUMBER(SEARCH("selection",LOWER(Z$2:Z$1000)))*ISNUMBER(SEARCH("data-flow",LOWER(AA$2:AA$1000))))</f>
        <v>0</v>
      </c>
      <c r="FY45" cm="1">
        <f t="array" ref="FY45">SUMPRODUCT((Y$2:Y$1000="PS")*(F$2:F$1000=FV45)*ISNUMBER(SEARCH("selection",LOWER(Z$2:Z$1000)))*ISNUMBER(SEARCH("symbolic",LOWER(AA$2:AA$1000))))</f>
        <v>0</v>
      </c>
      <c r="FZ45" cm="1">
        <f t="array" ref="FZ45">SUMPRODUCT((Y$2:Y$1000="PS")*(F$2:F$1000=FV45)*ISNUMBER(SEARCH("selection",LOWER(Z$2:Z$1000)))*ISNUMBER(SEARCH("dynamyc",LOWER(AA$2:AA$1000))))</f>
        <v>0</v>
      </c>
      <c r="GA45" cm="1">
        <f t="array" ref="GA45">SUMPRODUCT((Y$2:Y$1000="PS")*(F$2:F$1000=FV45)*ISNUMBER(SEARCH("selection",LOWER(Z$2:Z$1000)))*ISNUMBER(SEARCH("graph",LOWER(AA$2:AA$1000))))</f>
        <v>0</v>
      </c>
      <c r="GB45" cm="1">
        <f t="array" ref="GB45">SUMPRODUCT((Y$2:Y$1000="PS")*(F$2:F$1000=FV45)*ISNUMBER(SEARCH("selection",LOWER(Z$2:Z$1000)))*ISNUMBER(SEARCH("textual",LOWER(AA$2:AA$1000))))</f>
        <v>0</v>
      </c>
      <c r="GC45" cm="1">
        <f t="array" ref="GC45">SUMPRODUCT((Y$2:Y$1000="PS")*(F$2:F$1000=FV45)*ISNUMBER(SEARCH("selection",LOWER(Z$2:Z$1000)))*ISNUMBER(SEARCH("sdg",LOWER(AA$2:AA$1000))))</f>
        <v>0</v>
      </c>
      <c r="GD45" cm="1">
        <f t="array" ref="GD45">SUMPRODUCT((Y$2:Y$1000="PS")*(F$2:F$1000=FV45)*ISNUMBER(SEARCH("selection",LOWER(Z$2:Z$1000)))*ISNUMBER(SEARCH("path",LOWER(AA$2:AA$1000))))</f>
        <v>0</v>
      </c>
      <c r="GE45" cm="1">
        <f t="array" ref="GE45">SUMPRODUCT((Y$2:Y$1000="PS")*(F$2:F$1000=FV45)*ISNUMBER(SEARCH("selection",LOWER(Z$2:Z$1000)))*ISNUMBER(SEARCH("mod",LOWER(AA$2:AA$1000))))</f>
        <v>1</v>
      </c>
      <c r="GF45" cm="1">
        <f t="array" ref="GF45">SUMPRODUCT((Y$2:Y$1000="PS")*(F$2:F$1000=FV45)*ISNUMBER(SEARCH("selection",LOWER(Z$2:Z$1000)))*ISNUMBER(SEARCH("firewall",LOWER(AA$2:AA$1000))))</f>
        <v>0</v>
      </c>
      <c r="GG45" cm="1">
        <f t="array" ref="GG45">SUMPRODUCT((Y$2:Y$1000="PS")*(F$2:F$1000=FV45)*ISNUMBER(SEARCH("selection",LOWER(Z$2:Z$1000)))*ISNUMBER(SEARCH("cluster",LOWER(AA$2:AA$1000))))</f>
        <v>0</v>
      </c>
      <c r="GH45" cm="1">
        <f t="array" ref="GH45">SUMPRODUCT((Y$2:Y$1000="PS")*(F$2:F$1000=FV45)*ISNUMBER(SEARCH("selection",LOWER(Z$2:Z$1000)))*ISNUMBER(SEARCH("design",LOWER(AA$2:AA$1000))))</f>
        <v>0</v>
      </c>
      <c r="GI45" cm="1">
        <f t="array" ref="GI45">SUMPRODUCT((Y$2:Y$1000="PS")*(F$2:F$1000=FV45)*ISNUMBER(SEARCH("selection",LOWER(Z$2:Z$1000)))*ISNUMBER(SEARCH("hybrid",LOWER(AA$2:AA$1000))))</f>
        <v>0</v>
      </c>
      <c r="GJ45" cm="1">
        <f t="array" ref="GJ45">SUMPRODUCT((Y$2:Y$1000="PS")*(F$2:F$1000=FV45)*ISNUMBER(SEARCH("selection",LOWER(Z$2:Z$1000)))*ISNUMBER(SEARCH("selection",LOWER(AA$2:AA$1000))))</f>
        <v>0</v>
      </c>
      <c r="GK45" cm="1">
        <f t="array" ref="GK45">SUMPRODUCT((Y$2:Y$1000="PS")*(F$2:F$1000=FV45)*ISNUMBER(SEARCH("selection",LOWER(Z$2:Z$1000)))*ISNUMBER(SEARCH("detection",LOWER(AA$2:AA$1000))))</f>
        <v>0</v>
      </c>
      <c r="GL45" cm="1">
        <f t="array" ref="GL45">SUMPRODUCT((Y$2:Y$1000="PS")*(F$2:F$1000=FV45)*ISNUMBER(SEARCH("selection",LOWER(Z$2:Z$1000)))*ISNUMBER(SEARCH("coverage",LOWER(AA$2:AA$1000))))</f>
        <v>0</v>
      </c>
      <c r="GM45" cm="1">
        <f t="array" ref="GM45">SUMPRODUCT((Y$2:Y$1000="PS")*(F$2:F$1000=FV45)*ISNUMBER(SEARCH("selection",LOWER(Z$2:Z$1000)))*ISNUMBER(SEARCH("change",LOWER(AA$2:AA$1000))))</f>
        <v>0</v>
      </c>
      <c r="GN45" cm="1">
        <f t="array" ref="GN45">SUMPRODUCT((Y$2:Y$1000="PS")*(F$2:F$1000=FV45)*ISNUMBER(SEARCH("selection",LOWER(Z$2:Z$1000)))*ISNUMBER(SEARCH("model",LOWER(AA$2:AA$1000))))</f>
        <v>0</v>
      </c>
      <c r="GO45" cm="1">
        <f t="array" ref="GO45">SUMPRODUCT((Y$2:Y$1000="PS")*(F$2:F$1000=FV45)*ISNUMBER(SEARCH("selection",LOWER(Z$2:Z$1000)))*ISNUMBER(SEARCH("hystory",LOWER(AA$2:AA$1000))))</f>
        <v>0</v>
      </c>
      <c r="GP45" cm="1">
        <f t="array" ref="GP45">SUMPRODUCT((Y$2:Y$1000="PS")*(F$2:F$1000=FV45)*ISNUMBER(SEARCH("selection",LOWER(Z$2:Z$1000)))*ISNUMBER(SEARCH("cost-aware",LOWER(AA$2:AA$1000))))</f>
        <v>0</v>
      </c>
      <c r="GQ45" cm="1">
        <f t="array" ref="GQ45">SUMPRODUCT((Y$2:Y$1000="PS")*(F$2:F$1000=FV45)*ISNUMBER(SEARCH("selection",LOWER(Z$2:Z$1000)))*ISNUMBER(SEARCH("similarity",LOWER(AA$2:AA$1000))))</f>
        <v>0</v>
      </c>
      <c r="GR45" s="35" cm="1">
        <f t="array" ref="GR45">SUMPRODUCT((Y$2:Y$1000="PS")*(F$2:F$1000=FV45)*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45">
        <v>2021</v>
      </c>
      <c r="HA45" cm="1">
        <f t="array" ref="HA45">SUMPRODUCT((Y$2:Y$1000="PS")*(F$2:F$1000=GZ45)*ISNUMBER(SEARCH("minimization",LOWER(Z$2:Z$1000)))*ISNUMBER(SEARCH(LOWER(HA$36),LOWER(AB$2:AB$1000))))</f>
        <v>0</v>
      </c>
      <c r="HB45" cm="1">
        <f t="array" ref="HB45">SUMPRODUCT((Y$2:Y$1000="PS")*(F$2:F$1000=GZ45)*ISNUMBER(SEARCH("minimization",LOWER(Z$2:Z$1000)))*ISNUMBER(SEARCH(LOWER(HB$36),LOWER(AB$2:AB$1000))))</f>
        <v>0</v>
      </c>
      <c r="HC45" cm="1">
        <f t="array" ref="HC45">SUMPRODUCT((Y$2:Y$1000="PS")*(F$2:F$1000=GZ45)*ISNUMBER(SEARCH("minimization",LOWER(Z$2:Z$1000)))*ISNUMBER(SEARCH(LOWER(HC$36),LOWER(AB$2:AB$1000))))</f>
        <v>0</v>
      </c>
      <c r="HD45" cm="1">
        <f t="array" ref="HD45">SUMPRODUCT((Y$2:Y$1000="PS")*(F$2:F$1000=GZ45)*ISNUMBER(SEARCH("minimization",LOWER(Z$2:Z$1000)))*ISNUMBER(SEARCH(LOWER(HD$36),LOWER(AB$2:AB$1000))))</f>
        <v>0</v>
      </c>
      <c r="HE45" cm="1">
        <f t="array" ref="HE45">SUMPRODUCT((Y$2:Y$1000="PS")*(F$2:F$1000=GZ45)*ISNUMBER(SEARCH("minimization",LOWER(Z$2:Z$1000)))*ISNUMBER(SEARCH(LOWER(HE$36),LOWER(AB$2:AB$1000))))</f>
        <v>0</v>
      </c>
      <c r="HF45" cm="1">
        <f t="array" ref="HF45">SUMPRODUCT((Y$2:Y$1000="PS")*(F$2:F$1000=GZ45)*ISNUMBER(SEARCH("minimization",LOWER(Z$2:Z$1000)))*ISNUMBER(SEARCH(LOWER(HF$36),LOWER(AB$2:AB$1000))))</f>
        <v>0</v>
      </c>
      <c r="HG45" cm="1">
        <f t="array" ref="HG45">SUMPRODUCT((Y$2:Y$1000="PS")*(F$2:F$1000=GZ45)*ISNUMBER(SEARCH("minimization",LOWER(Z$2:Z$1000)))*ISNUMBER(SEARCH(LOWER(HG$36),LOWER(AB$2:AB$1000))))</f>
        <v>0</v>
      </c>
      <c r="HH45" cm="1">
        <f t="array" ref="HH45">SUMPRODUCT((Y$2:Y$1000="PS")*(F$2:F$1000=GZ45)*ISNUMBER(SEARCH("minimization",LOWER(Z$2:Z$1000)))*ISNUMBER(SEARCH(LOWER(HH$36),LOWER(AB$2:AB$1000))))</f>
        <v>0</v>
      </c>
      <c r="HI45" cm="1">
        <f t="array" ref="HI45">SUMPRODUCT((Y$2:Y$1000="PS")*(F$2:F$1000=GZ45)*ISNUMBER(SEARCH("minimization",LOWER(Z$2:Z$1000)))*ISNUMBER(SEARCH(LOWER(HI$36),LOWER(AB$2:AB$1000))))</f>
        <v>0</v>
      </c>
      <c r="HJ45" cm="1">
        <f t="array" ref="HJ45">SUMPRODUCT((Y$2:Y$1000="PS")*(F$2:F$1000=GZ45)*ISNUMBER(SEARCH("minimization",LOWER(Z$2:Z$1000)))*ISNUMBER(SEARCH(LOWER(HJ$36),LOWER(AB$2:AB$1000))))</f>
        <v>0</v>
      </c>
      <c r="HK45" cm="1">
        <f t="array" ref="HK45">SUMPRODUCT((Y$2:Y$1000="PS")*(F$2:F$1000=GZ45)*ISNUMBER(SEARCH("minimization",LOWER(Z$2:Z$1000)))*ISNUMBER(SEARCH(LOWER(HK$36),LOWER(AB$2:AB$1000))))</f>
        <v>0</v>
      </c>
      <c r="HL45" cm="1">
        <f t="array" ref="HL45">SUMPRODUCT((Y$2:Y$1000="PS")*(F$2:F$1000=GZ45)*ISNUMBER(SEARCH("minimization",LOWER(Z$2:Z$1000)))*ISNUMBER(SEARCH(LOWER(HL$36),LOWER(AB$2:AB$1000))))</f>
        <v>0</v>
      </c>
      <c r="HM45" cm="1">
        <f t="array" ref="HM45">SUMPRODUCT((Y$2:Y$1000="PS")*(F$2:F$1000=GZ45)*ISNUMBER(SEARCH("minimization",LOWER(Z$2:Z$1000)))*ISNUMBER(SEARCH(LOWER(HM$36),LOWER(AB$2:AB$1000))))</f>
        <v>0</v>
      </c>
    </row>
    <row r="46" spans="1:221" ht="57.6">
      <c r="C46" t="s">
        <v>556</v>
      </c>
      <c r="D46" t="s">
        <v>557</v>
      </c>
      <c r="E46" t="s">
        <v>558</v>
      </c>
      <c r="F46">
        <v>2021</v>
      </c>
      <c r="J46" t="s">
        <v>559</v>
      </c>
      <c r="Y46" t="s">
        <v>77</v>
      </c>
      <c r="Z46" s="6" t="s">
        <v>560</v>
      </c>
      <c r="AA46" s="17"/>
      <c r="AB46" s="17"/>
      <c r="AC46" s="17"/>
      <c r="AD46" s="17"/>
      <c r="AE46" s="17"/>
      <c r="AF46" s="17"/>
      <c r="AG46" s="17"/>
      <c r="AH46" s="17"/>
      <c r="AK46">
        <f t="shared" si="6"/>
        <v>0</v>
      </c>
      <c r="AL46">
        <f t="shared" si="0"/>
        <v>0</v>
      </c>
      <c r="AM46">
        <f t="shared" si="1"/>
        <v>0</v>
      </c>
      <c r="AN46">
        <f t="shared" si="2"/>
        <v>0</v>
      </c>
      <c r="FQ46" t="s">
        <v>1277</v>
      </c>
      <c r="FR46" s="35" cm="1">
        <f t="array" ref="FR46">SUMPRODUCT((Y$2:Y$1000="PS")*ISNUMBER(SEARCH(LOWER(FQ46),LOWER(AA$2:AA$1000)))*ISNUMBER(SEARCH("selection",LOWER(Z$2:Z$1000))))</f>
        <v>0</v>
      </c>
      <c r="FV46">
        <v>2022</v>
      </c>
      <c r="FW46" s="35" cm="1">
        <f t="array" ref="FW46">SUMPRODUCT((Y$2:Y$1000="PS")*(F$2:F$1000=FV46)*ISNUMBER(SEARCH("selection",LOWER(Z$2:Z$1000)))*ISNUMBER(SEARCH("integer",LOWER(AA$2:AA$1000))))</f>
        <v>0</v>
      </c>
      <c r="FX46" cm="1">
        <f t="array" ref="FX46">SUMPRODUCT((Y$2:Y$1000="PS")*(F$2:F$1000=FV46)*ISNUMBER(SEARCH("selection",LOWER(Z$2:Z$1000)))*ISNUMBER(SEARCH("data-flow",LOWER(AA$2:AA$1000))))</f>
        <v>0</v>
      </c>
      <c r="FY46" cm="1">
        <f t="array" ref="FY46">SUMPRODUCT((Y$2:Y$1000="PS")*(F$2:F$1000=FV46)*ISNUMBER(SEARCH("selection",LOWER(Z$2:Z$1000)))*ISNUMBER(SEARCH("symbolic",LOWER(AA$2:AA$1000))))</f>
        <v>0</v>
      </c>
      <c r="FZ46" cm="1">
        <f t="array" ref="FZ46">SUMPRODUCT((Y$2:Y$1000="PS")*(F$2:F$1000=FV46)*ISNUMBER(SEARCH("selection",LOWER(Z$2:Z$1000)))*ISNUMBER(SEARCH("dynamyc",LOWER(AA$2:AA$1000))))</f>
        <v>0</v>
      </c>
      <c r="GA46" cm="1">
        <f t="array" ref="GA46">SUMPRODUCT((Y$2:Y$1000="PS")*(F$2:F$1000=FV46)*ISNUMBER(SEARCH("selection",LOWER(Z$2:Z$1000)))*ISNUMBER(SEARCH("graph",LOWER(AA$2:AA$1000))))</f>
        <v>0</v>
      </c>
      <c r="GB46" cm="1">
        <f t="array" ref="GB46">SUMPRODUCT((Y$2:Y$1000="PS")*(F$2:F$1000=FV46)*ISNUMBER(SEARCH("selection",LOWER(Z$2:Z$1000)))*ISNUMBER(SEARCH("textual",LOWER(AA$2:AA$1000))))</f>
        <v>0</v>
      </c>
      <c r="GC46" cm="1">
        <f t="array" ref="GC46">SUMPRODUCT((Y$2:Y$1000="PS")*(F$2:F$1000=FV46)*ISNUMBER(SEARCH("selection",LOWER(Z$2:Z$1000)))*ISNUMBER(SEARCH("sdg",LOWER(AA$2:AA$1000))))</f>
        <v>0</v>
      </c>
      <c r="GD46" cm="1">
        <f t="array" ref="GD46">SUMPRODUCT((Y$2:Y$1000="PS")*(F$2:F$1000=FV46)*ISNUMBER(SEARCH("selection",LOWER(Z$2:Z$1000)))*ISNUMBER(SEARCH("path",LOWER(AA$2:AA$1000))))</f>
        <v>0</v>
      </c>
      <c r="GE46" cm="1">
        <f t="array" ref="GE46">SUMPRODUCT((Y$2:Y$1000="PS")*(F$2:F$1000=FV46)*ISNUMBER(SEARCH("selection",LOWER(Z$2:Z$1000)))*ISNUMBER(SEARCH("mod",LOWER(AA$2:AA$1000))))</f>
        <v>1</v>
      </c>
      <c r="GF46" cm="1">
        <f t="array" ref="GF46">SUMPRODUCT((Y$2:Y$1000="PS")*(F$2:F$1000=FV46)*ISNUMBER(SEARCH("selection",LOWER(Z$2:Z$1000)))*ISNUMBER(SEARCH("firewall",LOWER(AA$2:AA$1000))))</f>
        <v>0</v>
      </c>
      <c r="GG46" cm="1">
        <f t="array" ref="GG46">SUMPRODUCT((Y$2:Y$1000="PS")*(F$2:F$1000=FV46)*ISNUMBER(SEARCH("selection",LOWER(Z$2:Z$1000)))*ISNUMBER(SEARCH("cluster",LOWER(AA$2:AA$1000))))</f>
        <v>0</v>
      </c>
      <c r="GH46" cm="1">
        <f t="array" ref="GH46">SUMPRODUCT((Y$2:Y$1000="PS")*(F$2:F$1000=FV46)*ISNUMBER(SEARCH("selection",LOWER(Z$2:Z$1000)))*ISNUMBER(SEARCH("design",LOWER(AA$2:AA$1000))))</f>
        <v>0</v>
      </c>
      <c r="GI46" cm="1">
        <f t="array" ref="GI46">SUMPRODUCT((Y$2:Y$1000="PS")*(F$2:F$1000=FV46)*ISNUMBER(SEARCH("selection",LOWER(Z$2:Z$1000)))*ISNUMBER(SEARCH("hybrid",LOWER(AA$2:AA$1000))))</f>
        <v>0</v>
      </c>
      <c r="GJ46" cm="1">
        <f t="array" ref="GJ46">SUMPRODUCT((Y$2:Y$1000="PS")*(F$2:F$1000=FV46)*ISNUMBER(SEARCH("selection",LOWER(Z$2:Z$1000)))*ISNUMBER(SEARCH("selection",LOWER(AA$2:AA$1000))))</f>
        <v>0</v>
      </c>
      <c r="GK46" cm="1">
        <f t="array" ref="GK46">SUMPRODUCT((Y$2:Y$1000="PS")*(F$2:F$1000=FV46)*ISNUMBER(SEARCH("selection",LOWER(Z$2:Z$1000)))*ISNUMBER(SEARCH("detection",LOWER(AA$2:AA$1000))))</f>
        <v>0</v>
      </c>
      <c r="GL46" cm="1">
        <f t="array" ref="GL46">SUMPRODUCT((Y$2:Y$1000="PS")*(F$2:F$1000=FV46)*ISNUMBER(SEARCH("selection",LOWER(Z$2:Z$1000)))*ISNUMBER(SEARCH("coverage",LOWER(AA$2:AA$1000))))</f>
        <v>0</v>
      </c>
      <c r="GM46" cm="1">
        <f t="array" ref="GM46">SUMPRODUCT((Y$2:Y$1000="PS")*(F$2:F$1000=FV46)*ISNUMBER(SEARCH("selection",LOWER(Z$2:Z$1000)))*ISNUMBER(SEARCH("change",LOWER(AA$2:AA$1000))))</f>
        <v>0</v>
      </c>
      <c r="GN46" cm="1">
        <f t="array" ref="GN46">SUMPRODUCT((Y$2:Y$1000="PS")*(F$2:F$1000=FV46)*ISNUMBER(SEARCH("selection",LOWER(Z$2:Z$1000)))*ISNUMBER(SEARCH("model",LOWER(AA$2:AA$1000))))</f>
        <v>0</v>
      </c>
      <c r="GO46" cm="1">
        <f t="array" ref="GO46">SUMPRODUCT((Y$2:Y$1000="PS")*(F$2:F$1000=FV46)*ISNUMBER(SEARCH("selection",LOWER(Z$2:Z$1000)))*ISNUMBER(SEARCH("hystory",LOWER(AA$2:AA$1000))))</f>
        <v>0</v>
      </c>
      <c r="GP46" cm="1">
        <f t="array" ref="GP46">SUMPRODUCT((Y$2:Y$1000="PS")*(F$2:F$1000=FV46)*ISNUMBER(SEARCH("selection",LOWER(Z$2:Z$1000)))*ISNUMBER(SEARCH("cost-aware",LOWER(AA$2:AA$1000))))</f>
        <v>0</v>
      </c>
      <c r="GQ46" cm="1">
        <f t="array" ref="GQ46">SUMPRODUCT((Y$2:Y$1000="PS")*(F$2:F$1000=FV46)*ISNUMBER(SEARCH("selection",LOWER(Z$2:Z$1000)))*ISNUMBER(SEARCH("similarity",LOWER(AA$2:AA$1000))))</f>
        <v>0</v>
      </c>
      <c r="GR46" s="35" cm="1">
        <f t="array" ref="GR46">SUMPRODUCT((Y$2:Y$1000="PS")*(F$2:F$1000=FV46)*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46">
        <v>2022</v>
      </c>
      <c r="HA46" cm="1">
        <f t="array" ref="HA46">SUMPRODUCT((Y$2:Y$1000="PS")*(F$2:F$1000=GZ46)*ISNUMBER(SEARCH("minimization",LOWER(Z$2:Z$1000)))*ISNUMBER(SEARCH(LOWER(HA$36),LOWER(AB$2:AB$1000))))</f>
        <v>0</v>
      </c>
      <c r="HB46" cm="1">
        <f t="array" ref="HB46">SUMPRODUCT((Y$2:Y$1000="PS")*(F$2:F$1000=GZ46)*ISNUMBER(SEARCH("minimization",LOWER(Z$2:Z$1000)))*ISNUMBER(SEARCH(LOWER(HB$36),LOWER(AB$2:AB$1000))))</f>
        <v>0</v>
      </c>
      <c r="HC46" cm="1">
        <f t="array" ref="HC46">SUMPRODUCT((Y$2:Y$1000="PS")*(F$2:F$1000=GZ46)*ISNUMBER(SEARCH("minimization",LOWER(Z$2:Z$1000)))*ISNUMBER(SEARCH(LOWER(HC$36),LOWER(AB$2:AB$1000))))</f>
        <v>1</v>
      </c>
      <c r="HD46" cm="1">
        <f t="array" ref="HD46">SUMPRODUCT((Y$2:Y$1000="PS")*(F$2:F$1000=GZ46)*ISNUMBER(SEARCH("minimization",LOWER(Z$2:Z$1000)))*ISNUMBER(SEARCH(LOWER(HD$36),LOWER(AB$2:AB$1000))))</f>
        <v>0</v>
      </c>
      <c r="HE46" cm="1">
        <f t="array" ref="HE46">SUMPRODUCT((Y$2:Y$1000="PS")*(F$2:F$1000=GZ46)*ISNUMBER(SEARCH("minimization",LOWER(Z$2:Z$1000)))*ISNUMBER(SEARCH(LOWER(HE$36),LOWER(AB$2:AB$1000))))</f>
        <v>0</v>
      </c>
      <c r="HF46" cm="1">
        <f t="array" ref="HF46">SUMPRODUCT((Y$2:Y$1000="PS")*(F$2:F$1000=GZ46)*ISNUMBER(SEARCH("minimization",LOWER(Z$2:Z$1000)))*ISNUMBER(SEARCH(LOWER(HF$36),LOWER(AB$2:AB$1000))))</f>
        <v>0</v>
      </c>
      <c r="HG46" cm="1">
        <f t="array" ref="HG46">SUMPRODUCT((Y$2:Y$1000="PS")*(F$2:F$1000=GZ46)*ISNUMBER(SEARCH("minimization",LOWER(Z$2:Z$1000)))*ISNUMBER(SEARCH(LOWER(HG$36),LOWER(AB$2:AB$1000))))</f>
        <v>0</v>
      </c>
      <c r="HH46" cm="1">
        <f t="array" ref="HH46">SUMPRODUCT((Y$2:Y$1000="PS")*(F$2:F$1000=GZ46)*ISNUMBER(SEARCH("minimization",LOWER(Z$2:Z$1000)))*ISNUMBER(SEARCH(LOWER(HH$36),LOWER(AB$2:AB$1000))))</f>
        <v>0</v>
      </c>
      <c r="HI46" cm="1">
        <f t="array" ref="HI46">SUMPRODUCT((Y$2:Y$1000="PS")*(F$2:F$1000=GZ46)*ISNUMBER(SEARCH("minimization",LOWER(Z$2:Z$1000)))*ISNUMBER(SEARCH(LOWER(HI$36),LOWER(AB$2:AB$1000))))</f>
        <v>0</v>
      </c>
      <c r="HJ46" cm="1">
        <f t="array" ref="HJ46">SUMPRODUCT((Y$2:Y$1000="PS")*(F$2:F$1000=GZ46)*ISNUMBER(SEARCH("minimization",LOWER(Z$2:Z$1000)))*ISNUMBER(SEARCH(LOWER(HJ$36),LOWER(AB$2:AB$1000))))</f>
        <v>0</v>
      </c>
      <c r="HK46" cm="1">
        <f t="array" ref="HK46">SUMPRODUCT((Y$2:Y$1000="PS")*(F$2:F$1000=GZ46)*ISNUMBER(SEARCH("minimization",LOWER(Z$2:Z$1000)))*ISNUMBER(SEARCH(LOWER(HK$36),LOWER(AB$2:AB$1000))))</f>
        <v>0</v>
      </c>
      <c r="HL46" cm="1">
        <f t="array" ref="HL46">SUMPRODUCT((Y$2:Y$1000="PS")*(F$2:F$1000=GZ46)*ISNUMBER(SEARCH("minimization",LOWER(Z$2:Z$1000)))*ISNUMBER(SEARCH(LOWER(HL$36),LOWER(AB$2:AB$1000))))</f>
        <v>0</v>
      </c>
      <c r="HM46" cm="1">
        <f t="array" ref="HM46">SUMPRODUCT((Y$2:Y$1000="PS")*(F$2:F$1000=GZ46)*ISNUMBER(SEARCH("minimization",LOWER(Z$2:Z$1000)))*ISNUMBER(SEARCH(LOWER(HM$36),LOWER(AB$2:AB$1000))))</f>
        <v>0</v>
      </c>
    </row>
    <row r="47" spans="1:221" ht="57.6">
      <c r="C47" t="s">
        <v>561</v>
      </c>
      <c r="D47" t="s">
        <v>562</v>
      </c>
      <c r="E47" t="s">
        <v>563</v>
      </c>
      <c r="F47">
        <v>2021</v>
      </c>
      <c r="J47" t="s">
        <v>564</v>
      </c>
      <c r="Y47" t="s">
        <v>44</v>
      </c>
      <c r="Z47" s="6" t="s">
        <v>560</v>
      </c>
      <c r="AA47" s="17"/>
      <c r="AB47" s="17"/>
      <c r="AC47" s="17"/>
      <c r="AD47" s="17"/>
      <c r="AE47" s="17"/>
      <c r="AF47" s="17"/>
      <c r="AG47" s="17"/>
      <c r="AH47" s="17"/>
      <c r="AK47">
        <f t="shared" si="6"/>
        <v>0</v>
      </c>
      <c r="AL47">
        <f t="shared" si="0"/>
        <v>0</v>
      </c>
      <c r="AM47">
        <f t="shared" si="1"/>
        <v>0</v>
      </c>
      <c r="AN47">
        <f t="shared" si="2"/>
        <v>0</v>
      </c>
      <c r="FQ47" t="s">
        <v>1301</v>
      </c>
      <c r="FR47" s="35" cm="1">
        <f t="array" ref="FR47">SUMPRODUCT((Y$2:Y$1000="PS")*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3</v>
      </c>
      <c r="FV47">
        <v>2023</v>
      </c>
      <c r="FW47" s="35" cm="1">
        <f t="array" ref="FW47">SUMPRODUCT((Y$2:Y$1000="PS")*(F$2:F$1000=FV47)*ISNUMBER(SEARCH("selection",LOWER(Z$2:Z$1000)))*ISNUMBER(SEARCH("integer",LOWER(AA$2:AA$1000))))</f>
        <v>1</v>
      </c>
      <c r="FX47" cm="1">
        <f t="array" ref="FX47">SUMPRODUCT((Y$2:Y$1000="PS")*(F$2:F$1000=FV47)*ISNUMBER(SEARCH("selection",LOWER(Z$2:Z$1000)))*ISNUMBER(SEARCH("data-flow",LOWER(AA$2:AA$1000))))</f>
        <v>0</v>
      </c>
      <c r="FY47" cm="1">
        <f t="array" ref="FY47">SUMPRODUCT((Y$2:Y$1000="PS")*(F$2:F$1000=FV47)*ISNUMBER(SEARCH("selection",LOWER(Z$2:Z$1000)))*ISNUMBER(SEARCH("symbolic",LOWER(AA$2:AA$1000))))</f>
        <v>0</v>
      </c>
      <c r="FZ47" cm="1">
        <f t="array" ref="FZ47">SUMPRODUCT((Y$2:Y$1000="PS")*(F$2:F$1000=FV47)*ISNUMBER(SEARCH("selection",LOWER(Z$2:Z$1000)))*ISNUMBER(SEARCH("dynamyc",LOWER(AA$2:AA$1000))))</f>
        <v>0</v>
      </c>
      <c r="GA47" cm="1">
        <f t="array" ref="GA47">SUMPRODUCT((Y$2:Y$1000="PS")*(F$2:F$1000=FV47)*ISNUMBER(SEARCH("selection",LOWER(Z$2:Z$1000)))*ISNUMBER(SEARCH("graph",LOWER(AA$2:AA$1000))))</f>
        <v>0</v>
      </c>
      <c r="GB47" cm="1">
        <f t="array" ref="GB47">SUMPRODUCT((Y$2:Y$1000="PS")*(F$2:F$1000=FV47)*ISNUMBER(SEARCH("selection",LOWER(Z$2:Z$1000)))*ISNUMBER(SEARCH("textual",LOWER(AA$2:AA$1000))))</f>
        <v>0</v>
      </c>
      <c r="GC47" cm="1">
        <f t="array" ref="GC47">SUMPRODUCT((Y$2:Y$1000="PS")*(F$2:F$1000=FV47)*ISNUMBER(SEARCH("selection",LOWER(Z$2:Z$1000)))*ISNUMBER(SEARCH("sdg",LOWER(AA$2:AA$1000))))</f>
        <v>0</v>
      </c>
      <c r="GD47" cm="1">
        <f t="array" ref="GD47">SUMPRODUCT((Y$2:Y$1000="PS")*(F$2:F$1000=FV47)*ISNUMBER(SEARCH("selection",LOWER(Z$2:Z$1000)))*ISNUMBER(SEARCH("path",LOWER(AA$2:AA$1000))))</f>
        <v>0</v>
      </c>
      <c r="GE47" cm="1">
        <f t="array" ref="GE47">SUMPRODUCT((Y$2:Y$1000="PS")*(F$2:F$1000=FV47)*ISNUMBER(SEARCH("selection",LOWER(Z$2:Z$1000)))*ISNUMBER(SEARCH("mod",LOWER(AA$2:AA$1000))))</f>
        <v>0</v>
      </c>
      <c r="GF47" cm="1">
        <f t="array" ref="GF47">SUMPRODUCT((Y$2:Y$1000="PS")*(F$2:F$1000=FV47)*ISNUMBER(SEARCH("selection",LOWER(Z$2:Z$1000)))*ISNUMBER(SEARCH("firewall",LOWER(AA$2:AA$1000))))</f>
        <v>0</v>
      </c>
      <c r="GG47" cm="1">
        <f t="array" ref="GG47">SUMPRODUCT((Y$2:Y$1000="PS")*(F$2:F$1000=FV47)*ISNUMBER(SEARCH("selection",LOWER(Z$2:Z$1000)))*ISNUMBER(SEARCH("cluster",LOWER(AA$2:AA$1000))))</f>
        <v>0</v>
      </c>
      <c r="GH47" cm="1">
        <f t="array" ref="GH47">SUMPRODUCT((Y$2:Y$1000="PS")*(F$2:F$1000=FV47)*ISNUMBER(SEARCH("selection",LOWER(Z$2:Z$1000)))*ISNUMBER(SEARCH("design",LOWER(AA$2:AA$1000))))</f>
        <v>0</v>
      </c>
      <c r="GI47" cm="1">
        <f t="array" ref="GI47">SUMPRODUCT((Y$2:Y$1000="PS")*(F$2:F$1000=FV47)*ISNUMBER(SEARCH("selection",LOWER(Z$2:Z$1000)))*ISNUMBER(SEARCH("hybrid",LOWER(AA$2:AA$1000))))</f>
        <v>0</v>
      </c>
      <c r="GJ47" cm="1">
        <f t="array" ref="GJ47">SUMPRODUCT((Y$2:Y$1000="PS")*(F$2:F$1000=FV47)*ISNUMBER(SEARCH("selection",LOWER(Z$2:Z$1000)))*ISNUMBER(SEARCH("selection",LOWER(AA$2:AA$1000))))</f>
        <v>0</v>
      </c>
      <c r="GK47" cm="1">
        <f t="array" ref="GK47">SUMPRODUCT((Y$2:Y$1000="PS")*(F$2:F$1000=FV47)*ISNUMBER(SEARCH("selection",LOWER(Z$2:Z$1000)))*ISNUMBER(SEARCH("detection",LOWER(AA$2:AA$1000))))</f>
        <v>0</v>
      </c>
      <c r="GL47" cm="1">
        <f t="array" ref="GL47">SUMPRODUCT((Y$2:Y$1000="PS")*(F$2:F$1000=FV47)*ISNUMBER(SEARCH("selection",LOWER(Z$2:Z$1000)))*ISNUMBER(SEARCH("coverage",LOWER(AA$2:AA$1000))))</f>
        <v>0</v>
      </c>
      <c r="GM47" cm="1">
        <f t="array" ref="GM47">SUMPRODUCT((Y$2:Y$1000="PS")*(F$2:F$1000=FV47)*ISNUMBER(SEARCH("selection",LOWER(Z$2:Z$1000)))*ISNUMBER(SEARCH("change",LOWER(AA$2:AA$1000))))</f>
        <v>0</v>
      </c>
      <c r="GN47" cm="1">
        <f t="array" ref="GN47">SUMPRODUCT((Y$2:Y$1000="PS")*(F$2:F$1000=FV47)*ISNUMBER(SEARCH("selection",LOWER(Z$2:Z$1000)))*ISNUMBER(SEARCH("model",LOWER(AA$2:AA$1000))))</f>
        <v>0</v>
      </c>
      <c r="GO47" cm="1">
        <f t="array" ref="GO47">SUMPRODUCT((Y$2:Y$1000="PS")*(F$2:F$1000=FV47)*ISNUMBER(SEARCH("selection",LOWER(Z$2:Z$1000)))*ISNUMBER(SEARCH("hystory",LOWER(AA$2:AA$1000))))</f>
        <v>0</v>
      </c>
      <c r="GP47" cm="1">
        <f t="array" ref="GP47">SUMPRODUCT((Y$2:Y$1000="PS")*(F$2:F$1000=FV47)*ISNUMBER(SEARCH("selection",LOWER(Z$2:Z$1000)))*ISNUMBER(SEARCH("cost-aware",LOWER(AA$2:AA$1000))))</f>
        <v>0</v>
      </c>
      <c r="GQ47" cm="1">
        <f t="array" ref="GQ47">SUMPRODUCT((Y$2:Y$1000="PS")*(F$2:F$1000=FV47)*ISNUMBER(SEARCH("selection",LOWER(Z$2:Z$1000)))*ISNUMBER(SEARCH("similarity",LOWER(AA$2:AA$1000))))</f>
        <v>0</v>
      </c>
      <c r="GR47" s="35" cm="1">
        <f t="array" ref="GR47">SUMPRODUCT((Y$2:Y$1000="PS")*(F$2:F$1000=FV47)*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1</v>
      </c>
      <c r="GZ47">
        <v>2023</v>
      </c>
      <c r="HA47" cm="1">
        <f t="array" ref="HA47">SUMPRODUCT((Y$2:Y$1000="PS")*(F$2:F$1000=GZ47)*ISNUMBER(SEARCH("minimization",LOWER(Z$2:Z$1000)))*ISNUMBER(SEARCH(LOWER(HA$36),LOWER(AB$2:AB$1000))))</f>
        <v>0</v>
      </c>
      <c r="HB47" cm="1">
        <f t="array" ref="HB47">SUMPRODUCT((Y$2:Y$1000="PS")*(F$2:F$1000=GZ47)*ISNUMBER(SEARCH("minimization",LOWER(Z$2:Z$1000)))*ISNUMBER(SEARCH(LOWER(HB$36),LOWER(AB$2:AB$1000))))</f>
        <v>0</v>
      </c>
      <c r="HC47" cm="1">
        <f t="array" ref="HC47">SUMPRODUCT((Y$2:Y$1000="PS")*(F$2:F$1000=GZ47)*ISNUMBER(SEARCH("minimization",LOWER(Z$2:Z$1000)))*ISNUMBER(SEARCH(LOWER(HC$36),LOWER(AB$2:AB$1000))))</f>
        <v>0</v>
      </c>
      <c r="HD47" cm="1">
        <f t="array" ref="HD47">SUMPRODUCT((Y$2:Y$1000="PS")*(F$2:F$1000=GZ47)*ISNUMBER(SEARCH("minimization",LOWER(Z$2:Z$1000)))*ISNUMBER(SEARCH(LOWER(HD$36),LOWER(AB$2:AB$1000))))</f>
        <v>0</v>
      </c>
      <c r="HE47" cm="1">
        <f t="array" ref="HE47">SUMPRODUCT((Y$2:Y$1000="PS")*(F$2:F$1000=GZ47)*ISNUMBER(SEARCH("minimization",LOWER(Z$2:Z$1000)))*ISNUMBER(SEARCH(LOWER(HE$36),LOWER(AB$2:AB$1000))))</f>
        <v>0</v>
      </c>
      <c r="HF47" cm="1">
        <f t="array" ref="HF47">SUMPRODUCT((Y$2:Y$1000="PS")*(F$2:F$1000=GZ47)*ISNUMBER(SEARCH("minimization",LOWER(Z$2:Z$1000)))*ISNUMBER(SEARCH(LOWER(HF$36),LOWER(AB$2:AB$1000))))</f>
        <v>0</v>
      </c>
      <c r="HG47" cm="1">
        <f t="array" ref="HG47">SUMPRODUCT((Y$2:Y$1000="PS")*(F$2:F$1000=GZ47)*ISNUMBER(SEARCH("minimization",LOWER(Z$2:Z$1000)))*ISNUMBER(SEARCH(LOWER(HG$36),LOWER(AB$2:AB$1000))))</f>
        <v>0</v>
      </c>
      <c r="HH47" cm="1">
        <f t="array" ref="HH47">SUMPRODUCT((Y$2:Y$1000="PS")*(F$2:F$1000=GZ47)*ISNUMBER(SEARCH("minimization",LOWER(Z$2:Z$1000)))*ISNUMBER(SEARCH(LOWER(HH$36),LOWER(AB$2:AB$1000))))</f>
        <v>0</v>
      </c>
      <c r="HI47" cm="1">
        <f t="array" ref="HI47">SUMPRODUCT((Y$2:Y$1000="PS")*(F$2:F$1000=GZ47)*ISNUMBER(SEARCH("minimization",LOWER(Z$2:Z$1000)))*ISNUMBER(SEARCH(LOWER(HI$36),LOWER(AB$2:AB$1000))))</f>
        <v>0</v>
      </c>
      <c r="HJ47" cm="1">
        <f t="array" ref="HJ47">SUMPRODUCT((Y$2:Y$1000="PS")*(F$2:F$1000=GZ47)*ISNUMBER(SEARCH("minimization",LOWER(Z$2:Z$1000)))*ISNUMBER(SEARCH(LOWER(HJ$36),LOWER(AB$2:AB$1000))))</f>
        <v>0</v>
      </c>
      <c r="HK47" cm="1">
        <f t="array" ref="HK47">SUMPRODUCT((Y$2:Y$1000="PS")*(F$2:F$1000=GZ47)*ISNUMBER(SEARCH("minimization",LOWER(Z$2:Z$1000)))*ISNUMBER(SEARCH(LOWER(HK$36),LOWER(AB$2:AB$1000))))</f>
        <v>0</v>
      </c>
      <c r="HL47" cm="1">
        <f t="array" ref="HL47">SUMPRODUCT((Y$2:Y$1000="PS")*(F$2:F$1000=GZ47)*ISNUMBER(SEARCH("minimization",LOWER(Z$2:Z$1000)))*ISNUMBER(SEARCH(LOWER(HL$36),LOWER(AB$2:AB$1000))))</f>
        <v>0</v>
      </c>
      <c r="HM47" cm="1">
        <f t="array" ref="HM47">SUMPRODUCT((Y$2:Y$1000="PS")*(F$2:F$1000=GZ47)*ISNUMBER(SEARCH("minimization",LOWER(Z$2:Z$1000)))*ISNUMBER(SEARCH(LOWER(HM$36),LOWER(AB$2:AB$1000))))</f>
        <v>0</v>
      </c>
    </row>
    <row r="48" spans="1:221" ht="129.6">
      <c r="C48" t="s">
        <v>565</v>
      </c>
      <c r="D48" t="s">
        <v>566</v>
      </c>
      <c r="E48" t="s">
        <v>567</v>
      </c>
      <c r="F48">
        <v>2024</v>
      </c>
      <c r="J48" t="s">
        <v>568</v>
      </c>
      <c r="Y48" t="s">
        <v>58</v>
      </c>
      <c r="Z48" s="6" t="s">
        <v>569</v>
      </c>
      <c r="AA48" s="7" t="s">
        <v>408</v>
      </c>
      <c r="AB48" s="7" t="s">
        <v>1383</v>
      </c>
      <c r="AC48" s="7"/>
      <c r="AD48" s="7" t="s">
        <v>570</v>
      </c>
      <c r="AE48" s="6" t="s">
        <v>571</v>
      </c>
      <c r="AF48" s="7" t="s">
        <v>572</v>
      </c>
      <c r="AG48" s="7" t="s">
        <v>573</v>
      </c>
      <c r="AH48" s="6">
        <v>0.5</v>
      </c>
      <c r="AK48">
        <f t="shared" si="6"/>
        <v>1</v>
      </c>
      <c r="AL48">
        <f t="shared" si="0"/>
        <v>0</v>
      </c>
      <c r="AM48">
        <f t="shared" si="1"/>
        <v>0</v>
      </c>
      <c r="AN48">
        <f t="shared" si="2"/>
        <v>1</v>
      </c>
      <c r="FV48">
        <v>2024</v>
      </c>
      <c r="FW48" s="35" cm="1">
        <f t="array" ref="FW48">SUMPRODUCT((Y$2:Y$1000="PS")*(F$2:F$1000=FV48)*ISNUMBER(SEARCH("selection",LOWER(Z$2:Z$1000)))*ISNUMBER(SEARCH("integer",LOWER(AA$2:AA$1000))))</f>
        <v>0</v>
      </c>
      <c r="FX48" cm="1">
        <f t="array" ref="FX48">SUMPRODUCT((Y$2:Y$1000="PS")*(F$2:F$1000=FV48)*ISNUMBER(SEARCH("selection",LOWER(Z$2:Z$1000)))*ISNUMBER(SEARCH("data-flow",LOWER(AA$2:AA$1000))))</f>
        <v>0</v>
      </c>
      <c r="FY48" cm="1">
        <f t="array" ref="FY48">SUMPRODUCT((Y$2:Y$1000="PS")*(F$2:F$1000=FV48)*ISNUMBER(SEARCH("selection",LOWER(Z$2:Z$1000)))*ISNUMBER(SEARCH("symbolic",LOWER(AA$2:AA$1000))))</f>
        <v>0</v>
      </c>
      <c r="FZ48" cm="1">
        <f t="array" ref="FZ48">SUMPRODUCT((Y$2:Y$1000="PS")*(F$2:F$1000=FV48)*ISNUMBER(SEARCH("selection",LOWER(Z$2:Z$1000)))*ISNUMBER(SEARCH("dynamyc",LOWER(AA$2:AA$1000))))</f>
        <v>0</v>
      </c>
      <c r="GA48" cm="1">
        <f t="array" ref="GA48">SUMPRODUCT((Y$2:Y$1000="PS")*(F$2:F$1000=FV48)*ISNUMBER(SEARCH("selection",LOWER(Z$2:Z$1000)))*ISNUMBER(SEARCH("graph",LOWER(AA$2:AA$1000))))</f>
        <v>1</v>
      </c>
      <c r="GB48" cm="1">
        <f t="array" ref="GB48">SUMPRODUCT((Y$2:Y$1000="PS")*(F$2:F$1000=FV48)*ISNUMBER(SEARCH("selection",LOWER(Z$2:Z$1000)))*ISNUMBER(SEARCH("textual",LOWER(AA$2:AA$1000))))</f>
        <v>0</v>
      </c>
      <c r="GC48" cm="1">
        <f t="array" ref="GC48">SUMPRODUCT((Y$2:Y$1000="PS")*(F$2:F$1000=FV48)*ISNUMBER(SEARCH("selection",LOWER(Z$2:Z$1000)))*ISNUMBER(SEARCH("sdg",LOWER(AA$2:AA$1000))))</f>
        <v>0</v>
      </c>
      <c r="GD48" cm="1">
        <f t="array" ref="GD48">SUMPRODUCT((Y$2:Y$1000="PS")*(F$2:F$1000=FV48)*ISNUMBER(SEARCH("selection",LOWER(Z$2:Z$1000)))*ISNUMBER(SEARCH("path",LOWER(AA$2:AA$1000))))</f>
        <v>0</v>
      </c>
      <c r="GE48" cm="1">
        <f t="array" ref="GE48">SUMPRODUCT((Y$2:Y$1000="PS")*(F$2:F$1000=FV48)*ISNUMBER(SEARCH("selection",LOWER(Z$2:Z$1000)))*ISNUMBER(SEARCH("mod",LOWER(AA$2:AA$1000))))</f>
        <v>0</v>
      </c>
      <c r="GF48" cm="1">
        <f t="array" ref="GF48">SUMPRODUCT((Y$2:Y$1000="PS")*(F$2:F$1000=FV48)*ISNUMBER(SEARCH("selection",LOWER(Z$2:Z$1000)))*ISNUMBER(SEARCH("firewall",LOWER(AA$2:AA$1000))))</f>
        <v>0</v>
      </c>
      <c r="GG48" cm="1">
        <f t="array" ref="GG48">SUMPRODUCT((Y$2:Y$1000="PS")*(F$2:F$1000=FV48)*ISNUMBER(SEARCH("selection",LOWER(Z$2:Z$1000)))*ISNUMBER(SEARCH("cluster",LOWER(AA$2:AA$1000))))</f>
        <v>0</v>
      </c>
      <c r="GH48" cm="1">
        <f t="array" ref="GH48">SUMPRODUCT((Y$2:Y$1000="PS")*(F$2:F$1000=FV48)*ISNUMBER(SEARCH("selection",LOWER(Z$2:Z$1000)))*ISNUMBER(SEARCH("design",LOWER(AA$2:AA$1000))))</f>
        <v>0</v>
      </c>
      <c r="GI48" cm="1">
        <f t="array" ref="GI48">SUMPRODUCT((Y$2:Y$1000="PS")*(F$2:F$1000=FV48)*ISNUMBER(SEARCH("selection",LOWER(Z$2:Z$1000)))*ISNUMBER(SEARCH("hybrid",LOWER(AA$2:AA$1000))))</f>
        <v>0</v>
      </c>
      <c r="GJ48" cm="1">
        <f t="array" ref="GJ48">SUMPRODUCT((Y$2:Y$1000="PS")*(F$2:F$1000=FV48)*ISNUMBER(SEARCH("selection",LOWER(Z$2:Z$1000)))*ISNUMBER(SEARCH("selection",LOWER(AA$2:AA$1000))))</f>
        <v>0</v>
      </c>
      <c r="GK48" cm="1">
        <f t="array" ref="GK48">SUMPRODUCT((Y$2:Y$1000="PS")*(F$2:F$1000=FV48)*ISNUMBER(SEARCH("selection",LOWER(Z$2:Z$1000)))*ISNUMBER(SEARCH("detection",LOWER(AA$2:AA$1000))))</f>
        <v>0</v>
      </c>
      <c r="GL48" cm="1">
        <f t="array" ref="GL48">SUMPRODUCT((Y$2:Y$1000="PS")*(F$2:F$1000=FV48)*ISNUMBER(SEARCH("selection",LOWER(Z$2:Z$1000)))*ISNUMBER(SEARCH("coverage",LOWER(AA$2:AA$1000))))</f>
        <v>0</v>
      </c>
      <c r="GM48" cm="1">
        <f t="array" ref="GM48">SUMPRODUCT((Y$2:Y$1000="PS")*(F$2:F$1000=FV48)*ISNUMBER(SEARCH("selection",LOWER(Z$2:Z$1000)))*ISNUMBER(SEARCH("change",LOWER(AA$2:AA$1000))))</f>
        <v>0</v>
      </c>
      <c r="GN48" cm="1">
        <f t="array" ref="GN48">SUMPRODUCT((Y$2:Y$1000="PS")*(F$2:F$1000=FV48)*ISNUMBER(SEARCH("selection",LOWER(Z$2:Z$1000)))*ISNUMBER(SEARCH("model",LOWER(AA$2:AA$1000))))</f>
        <v>0</v>
      </c>
      <c r="GO48" cm="1">
        <f t="array" ref="GO48">SUMPRODUCT((Y$2:Y$1000="PS")*(F$2:F$1000=FV48)*ISNUMBER(SEARCH("selection",LOWER(Z$2:Z$1000)))*ISNUMBER(SEARCH("hystory",LOWER(AA$2:AA$1000))))</f>
        <v>0</v>
      </c>
      <c r="GP48" cm="1">
        <f t="array" ref="GP48">SUMPRODUCT((Y$2:Y$1000="PS")*(F$2:F$1000=FV48)*ISNUMBER(SEARCH("selection",LOWER(Z$2:Z$1000)))*ISNUMBER(SEARCH("cost-aware",LOWER(AA$2:AA$1000))))</f>
        <v>0</v>
      </c>
      <c r="GQ48" cm="1">
        <f t="array" ref="GQ48">SUMPRODUCT((Y$2:Y$1000="PS")*(F$2:F$1000=FV48)*ISNUMBER(SEARCH("selection",LOWER(Z$2:Z$1000)))*ISNUMBER(SEARCH("similarity",LOWER(AA$2:AA$1000))))</f>
        <v>0</v>
      </c>
      <c r="GR48" s="35" cm="1">
        <f t="array" ref="GR48">SUMPRODUCT((Y$2:Y$1000="PS")*(F$2:F$1000=FV48)*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48">
        <v>2024</v>
      </c>
      <c r="HA48" cm="1">
        <f t="array" ref="HA48">SUMPRODUCT((Y$2:Y$1000="PS")*(F$2:F$1000=GZ48)*ISNUMBER(SEARCH("minimization",LOWER(Z$2:Z$1000)))*ISNUMBER(SEARCH(LOWER(HA$36),LOWER(AB$2:AB$1000))))</f>
        <v>0</v>
      </c>
      <c r="HB48" cm="1">
        <f t="array" ref="HB48">SUMPRODUCT((Y$2:Y$1000="PS")*(F$2:F$1000=GZ48)*ISNUMBER(SEARCH("minimization",LOWER(Z$2:Z$1000)))*ISNUMBER(SEARCH(LOWER(HB$36),LOWER(AB$2:AB$1000))))</f>
        <v>0</v>
      </c>
      <c r="HC48" cm="1">
        <f t="array" ref="HC48">SUMPRODUCT((Y$2:Y$1000="PS")*(F$2:F$1000=GZ48)*ISNUMBER(SEARCH("minimization",LOWER(Z$2:Z$1000)))*ISNUMBER(SEARCH(LOWER(HC$36),LOWER(AB$2:AB$1000))))</f>
        <v>1</v>
      </c>
      <c r="HD48" cm="1">
        <f t="array" ref="HD48">SUMPRODUCT((Y$2:Y$1000="PS")*(F$2:F$1000=GZ48)*ISNUMBER(SEARCH("minimization",LOWER(Z$2:Z$1000)))*ISNUMBER(SEARCH(LOWER(HD$36),LOWER(AB$2:AB$1000))))</f>
        <v>0</v>
      </c>
      <c r="HE48" cm="1">
        <f t="array" ref="HE48">SUMPRODUCT((Y$2:Y$1000="PS")*(F$2:F$1000=GZ48)*ISNUMBER(SEARCH("minimization",LOWER(Z$2:Z$1000)))*ISNUMBER(SEARCH(LOWER(HE$36),LOWER(AB$2:AB$1000))))</f>
        <v>0</v>
      </c>
      <c r="HF48" cm="1">
        <f t="array" ref="HF48">SUMPRODUCT((Y$2:Y$1000="PS")*(F$2:F$1000=GZ48)*ISNUMBER(SEARCH("minimization",LOWER(Z$2:Z$1000)))*ISNUMBER(SEARCH(LOWER(HF$36),LOWER(AB$2:AB$1000))))</f>
        <v>0</v>
      </c>
      <c r="HG48" cm="1">
        <f t="array" ref="HG48">SUMPRODUCT((Y$2:Y$1000="PS")*(F$2:F$1000=GZ48)*ISNUMBER(SEARCH("minimization",LOWER(Z$2:Z$1000)))*ISNUMBER(SEARCH(LOWER(HG$36),LOWER(AB$2:AB$1000))))</f>
        <v>0</v>
      </c>
      <c r="HH48" cm="1">
        <f t="array" ref="HH48">SUMPRODUCT((Y$2:Y$1000="PS")*(F$2:F$1000=GZ48)*ISNUMBER(SEARCH("minimization",LOWER(Z$2:Z$1000)))*ISNUMBER(SEARCH(LOWER(HH$36),LOWER(AB$2:AB$1000))))</f>
        <v>0</v>
      </c>
      <c r="HI48" cm="1">
        <f t="array" ref="HI48">SUMPRODUCT((Y$2:Y$1000="PS")*(F$2:F$1000=GZ48)*ISNUMBER(SEARCH("minimization",LOWER(Z$2:Z$1000)))*ISNUMBER(SEARCH(LOWER(HI$36),LOWER(AB$2:AB$1000))))</f>
        <v>0</v>
      </c>
      <c r="HJ48" cm="1">
        <f t="array" ref="HJ48">SUMPRODUCT((Y$2:Y$1000="PS")*(F$2:F$1000=GZ48)*ISNUMBER(SEARCH("minimization",LOWER(Z$2:Z$1000)))*ISNUMBER(SEARCH(LOWER(HJ$36),LOWER(AB$2:AB$1000))))</f>
        <v>0</v>
      </c>
      <c r="HK48" cm="1">
        <f t="array" ref="HK48">SUMPRODUCT((Y$2:Y$1000="PS")*(F$2:F$1000=GZ48)*ISNUMBER(SEARCH("minimization",LOWER(Z$2:Z$1000)))*ISNUMBER(SEARCH(LOWER(HK$36),LOWER(AB$2:AB$1000))))</f>
        <v>0</v>
      </c>
      <c r="HL48" cm="1">
        <f t="array" ref="HL48">SUMPRODUCT((Y$2:Y$1000="PS")*(F$2:F$1000=GZ48)*ISNUMBER(SEARCH("minimization",LOWER(Z$2:Z$1000)))*ISNUMBER(SEARCH(LOWER(HL$36),LOWER(AB$2:AB$1000))))</f>
        <v>0</v>
      </c>
      <c r="HM48" cm="1">
        <f t="array" ref="HM48">SUMPRODUCT((Y$2:Y$1000="PS")*(F$2:F$1000=GZ48)*ISNUMBER(SEARCH("minimization",LOWER(Z$2:Z$1000)))*ISNUMBER(SEARCH(LOWER(HM$36),LOWER(AB$2:AB$1000))))</f>
        <v>0</v>
      </c>
    </row>
    <row r="49" spans="3:221" ht="129.6">
      <c r="C49" t="s">
        <v>574</v>
      </c>
      <c r="D49" t="s">
        <v>575</v>
      </c>
      <c r="E49" t="s">
        <v>576</v>
      </c>
      <c r="F49">
        <v>2021</v>
      </c>
      <c r="J49" t="s">
        <v>577</v>
      </c>
      <c r="Y49" t="s">
        <v>58</v>
      </c>
      <c r="Z49" s="6" t="s">
        <v>560</v>
      </c>
      <c r="AA49" s="7" t="s">
        <v>578</v>
      </c>
      <c r="AB49" s="7" t="s">
        <v>1383</v>
      </c>
      <c r="AC49" s="7"/>
      <c r="AD49" s="6" t="s">
        <v>579</v>
      </c>
      <c r="AE49" s="6" t="s">
        <v>580</v>
      </c>
      <c r="AF49" s="7" t="s">
        <v>581</v>
      </c>
      <c r="AG49" s="7" t="s">
        <v>582</v>
      </c>
      <c r="AH49" s="6">
        <v>0.5</v>
      </c>
      <c r="AK49">
        <f t="shared" si="6"/>
        <v>1</v>
      </c>
      <c r="AL49">
        <f t="shared" si="0"/>
        <v>0</v>
      </c>
      <c r="AM49">
        <f t="shared" si="1"/>
        <v>0</v>
      </c>
      <c r="AN49">
        <f t="shared" si="2"/>
        <v>1</v>
      </c>
      <c r="FV49">
        <v>2025</v>
      </c>
      <c r="FW49" s="35" cm="1">
        <f t="array" ref="FW49">SUMPRODUCT((Y$2:Y$1000="PS")*(F$2:F$1000=FV49)*ISNUMBER(SEARCH("selection",LOWER(Z$2:Z$1000)))*ISNUMBER(SEARCH("integer",LOWER(AA$2:AA$1000))))</f>
        <v>0</v>
      </c>
      <c r="FX49" cm="1">
        <f t="array" ref="FX49">SUMPRODUCT((Y$2:Y$1000="PS")*(F$2:F$1000=FV49)*ISNUMBER(SEARCH("selection",LOWER(Z$2:Z$1000)))*ISNUMBER(SEARCH("data-flow",LOWER(AA$2:AA$1000))))</f>
        <v>0</v>
      </c>
      <c r="FY49" cm="1">
        <f t="array" ref="FY49">SUMPRODUCT((Y$2:Y$1000="PS")*(F$2:F$1000=FV49)*ISNUMBER(SEARCH("selection",LOWER(Z$2:Z$1000)))*ISNUMBER(SEARCH("symbolic",LOWER(AA$2:AA$1000))))</f>
        <v>0</v>
      </c>
      <c r="FZ49" cm="1">
        <f t="array" ref="FZ49">SUMPRODUCT((Y$2:Y$1000="PS")*(F$2:F$1000=FV49)*ISNUMBER(SEARCH("selection",LOWER(Z$2:Z$1000)))*ISNUMBER(SEARCH("dynamyc",LOWER(AA$2:AA$1000))))</f>
        <v>0</v>
      </c>
      <c r="GA49" cm="1">
        <f t="array" ref="GA49">SUMPRODUCT((Y$2:Y$1000="PS")*(F$2:F$1000=FV49)*ISNUMBER(SEARCH("selection",LOWER(Z$2:Z$1000)))*ISNUMBER(SEARCH("graph",LOWER(AA$2:AA$1000))))</f>
        <v>1</v>
      </c>
      <c r="GB49" cm="1">
        <f t="array" ref="GB49">SUMPRODUCT((Y$2:Y$1000="PS")*(F$2:F$1000=FV49)*ISNUMBER(SEARCH("selection",LOWER(Z$2:Z$1000)))*ISNUMBER(SEARCH("textual",LOWER(AA$2:AA$1000))))</f>
        <v>0</v>
      </c>
      <c r="GC49" cm="1">
        <f t="array" ref="GC49">SUMPRODUCT((Y$2:Y$1000="PS")*(F$2:F$1000=FV49)*ISNUMBER(SEARCH("selection",LOWER(Z$2:Z$1000)))*ISNUMBER(SEARCH("sdg",LOWER(AA$2:AA$1000))))</f>
        <v>0</v>
      </c>
      <c r="GD49" cm="1">
        <f t="array" ref="GD49">SUMPRODUCT((Y$2:Y$1000="PS")*(F$2:F$1000=FV49)*ISNUMBER(SEARCH("selection",LOWER(Z$2:Z$1000)))*ISNUMBER(SEARCH("path",LOWER(AA$2:AA$1000))))</f>
        <v>0</v>
      </c>
      <c r="GE49" cm="1">
        <f t="array" ref="GE49">SUMPRODUCT((Y$2:Y$1000="PS")*(F$2:F$1000=FV49)*ISNUMBER(SEARCH("selection",LOWER(Z$2:Z$1000)))*ISNUMBER(SEARCH("mod",LOWER(AA$2:AA$1000))))</f>
        <v>0</v>
      </c>
      <c r="GF49" cm="1">
        <f t="array" ref="GF49">SUMPRODUCT((Y$2:Y$1000="PS")*(F$2:F$1000=FV49)*ISNUMBER(SEARCH("selection",LOWER(Z$2:Z$1000)))*ISNUMBER(SEARCH("firewall",LOWER(AA$2:AA$1000))))</f>
        <v>0</v>
      </c>
      <c r="GG49" cm="1">
        <f t="array" ref="GG49">SUMPRODUCT((Y$2:Y$1000="PS")*(F$2:F$1000=FV49)*ISNUMBER(SEARCH("selection",LOWER(Z$2:Z$1000)))*ISNUMBER(SEARCH("cluster",LOWER(AA$2:AA$1000))))</f>
        <v>0</v>
      </c>
      <c r="GH49" cm="1">
        <f t="array" ref="GH49">SUMPRODUCT((Y$2:Y$1000="PS")*(F$2:F$1000=FV49)*ISNUMBER(SEARCH("selection",LOWER(Z$2:Z$1000)))*ISNUMBER(SEARCH("design",LOWER(AA$2:AA$1000))))</f>
        <v>0</v>
      </c>
      <c r="GI49" cm="1">
        <f t="array" ref="GI49">SUMPRODUCT((Y$2:Y$1000="PS")*(F$2:F$1000=FV49)*ISNUMBER(SEARCH("selection",LOWER(Z$2:Z$1000)))*ISNUMBER(SEARCH("hybrid",LOWER(AA$2:AA$1000))))</f>
        <v>0</v>
      </c>
      <c r="GJ49" cm="1">
        <f t="array" ref="GJ49">SUMPRODUCT((Y$2:Y$1000="PS")*(F$2:F$1000=FV49)*ISNUMBER(SEARCH("selection",LOWER(Z$2:Z$1000)))*ISNUMBER(SEARCH("selection",LOWER(AA$2:AA$1000))))</f>
        <v>0</v>
      </c>
      <c r="GK49" cm="1">
        <f t="array" ref="GK49">SUMPRODUCT((Y$2:Y$1000="PS")*(F$2:F$1000=FV49)*ISNUMBER(SEARCH("selection",LOWER(Z$2:Z$1000)))*ISNUMBER(SEARCH("detection",LOWER(AA$2:AA$1000))))</f>
        <v>0</v>
      </c>
      <c r="GL49" cm="1">
        <f t="array" ref="GL49">SUMPRODUCT((Y$2:Y$1000="PS")*(F$2:F$1000=FV49)*ISNUMBER(SEARCH("selection",LOWER(Z$2:Z$1000)))*ISNUMBER(SEARCH("coverage",LOWER(AA$2:AA$1000))))</f>
        <v>0</v>
      </c>
      <c r="GM49" cm="1">
        <f t="array" ref="GM49">SUMPRODUCT((Y$2:Y$1000="PS")*(F$2:F$1000=FV49)*ISNUMBER(SEARCH("selection",LOWER(Z$2:Z$1000)))*ISNUMBER(SEARCH("change",LOWER(AA$2:AA$1000))))</f>
        <v>0</v>
      </c>
      <c r="GN49" cm="1">
        <f t="array" ref="GN49">SUMPRODUCT((Y$2:Y$1000="PS")*(F$2:F$1000=FV49)*ISNUMBER(SEARCH("selection",LOWER(Z$2:Z$1000)))*ISNUMBER(SEARCH("model",LOWER(AA$2:AA$1000))))</f>
        <v>0</v>
      </c>
      <c r="GO49" cm="1">
        <f t="array" ref="GO49">SUMPRODUCT((Y$2:Y$1000="PS")*(F$2:F$1000=FV49)*ISNUMBER(SEARCH("selection",LOWER(Z$2:Z$1000)))*ISNUMBER(SEARCH("hystory",LOWER(AA$2:AA$1000))))</f>
        <v>0</v>
      </c>
      <c r="GP49" cm="1">
        <f t="array" ref="GP49">SUMPRODUCT((Y$2:Y$1000="PS")*(F$2:F$1000=FV49)*ISNUMBER(SEARCH("selection",LOWER(Z$2:Z$1000)))*ISNUMBER(SEARCH("cost-aware",LOWER(AA$2:AA$1000))))</f>
        <v>0</v>
      </c>
      <c r="GQ49" cm="1">
        <f t="array" ref="GQ49">SUMPRODUCT((Y$2:Y$1000="PS")*(F$2:F$1000=FV49)*ISNUMBER(SEARCH("selection",LOWER(Z$2:Z$1000)))*ISNUMBER(SEARCH("similarity",LOWER(AA$2:AA$1000))))</f>
        <v>0</v>
      </c>
      <c r="GR49" s="35" cm="1">
        <f t="array" ref="GR49">SUMPRODUCT((Y$2:Y$1000="PS")*(F$2:F$1000=FV49)*ISNUMBER(SEARCH("selection",LOWER(Z$2:Z$1000)))*(NOT(ISNUMBER(SEARCH("integer",LOWER(AA$2:AA$1000)))))*(NOT(ISNUMBER(SEARCH("data-flow",LOWER(AA$2:AA$1000)))))*(NOT(ISNUMBER(SEARCH("symbolic",LOWER(AA$2:AA$1000)))))*(NOT(ISNUMBER(SEARCH("dynamic",LOWER(AA$2:AA$1000)))))*(NOT(ISNUMBER(SEARCH("graph",LOWER(AA$2:AA$1000)))))*(NOT(ISNUMBER(SEARCH("textual",LOWER(AA$2:AA$1000)))))*(NOT(ISNUMBER(SEARCH("sdg",LOWER(AA$2:AA$1000)))))*(NOT(ISNUMBER(SEARCH("path",LOWER(AA$2:AA$1000)))))*(NOT(ISNUMBER(SEARCH("mod",LOWER(AA$2:AA$1000)))))*(NOT(ISNUMBER(SEARCH("firewall",LOWER(AA$2:AA$1000)))))*(NOT(ISNUMBER(SEARCH("cluster",LOWER(AA$2:AA$1000)))))*(NOT(ISNUMBER(SEARCH("design",LOWER(AA$2:AA$1000)))))*(NOT(ISNUMBER(SEARCH("hybrid",LOWER(AA$2:AA$1000)))))*(NOT(ISNUMBER(SEARCH("selection",LOWER(AA$2:AA$1000)))))*(NOT(ISNUMBER(SEARCH("detection",LOWER(AA$2:AA$1000)))))*(NOT(ISNUMBER(SEARCH("coverage",LOWER(AA$2:AA$1000)))))*(NOT(ISNUMBER(SEARCH("change",LOWER(AA$2:AA$1000)))))*(NOT(ISNUMBER(SEARCH("model",LOWER(AA$2:AA$1000)))))*(NOT(ISNUMBER(SEARCH("history",LOWER(AA$2:AA$1000)))))*(NOT(ISNUMBER(SEARCH("cost-aware",LOWER(AA$2:AA$1000)))))*(NOT(ISNUMBER(SEARCH("similarity",LOWER(AA$2:AA$1000))))))</f>
        <v>0</v>
      </c>
      <c r="GZ49">
        <v>2025</v>
      </c>
      <c r="HA49" cm="1">
        <f t="array" ref="HA49">SUMPRODUCT((Y$2:Y$1000="PS")*(F$2:F$1000=GZ49)*ISNUMBER(SEARCH("minimization",LOWER(Z$2:Z$1000)))*ISNUMBER(SEARCH(LOWER(HA$36),LOWER(AB$2:AB$1000))))</f>
        <v>0</v>
      </c>
      <c r="HB49" cm="1">
        <f t="array" ref="HB49">SUMPRODUCT((Y$2:Y$1000="PS")*(F$2:F$1000=GZ49)*ISNUMBER(SEARCH("minimization",LOWER(Z$2:Z$1000)))*ISNUMBER(SEARCH(LOWER(HB$36),LOWER(AB$2:AB$1000))))</f>
        <v>0</v>
      </c>
      <c r="HC49" cm="1">
        <f t="array" ref="HC49">SUMPRODUCT((Y$2:Y$1000="PS")*(F$2:F$1000=GZ49)*ISNUMBER(SEARCH("minimization",LOWER(Z$2:Z$1000)))*ISNUMBER(SEARCH(LOWER(HC$36),LOWER(AB$2:AB$1000))))</f>
        <v>0</v>
      </c>
      <c r="HD49" cm="1">
        <f t="array" ref="HD49">SUMPRODUCT((Y$2:Y$1000="PS")*(F$2:F$1000=GZ49)*ISNUMBER(SEARCH("minimization",LOWER(Z$2:Z$1000)))*ISNUMBER(SEARCH(LOWER(HD$36),LOWER(AB$2:AB$1000))))</f>
        <v>0</v>
      </c>
      <c r="HE49" cm="1">
        <f t="array" ref="HE49">SUMPRODUCT((Y$2:Y$1000="PS")*(F$2:F$1000=GZ49)*ISNUMBER(SEARCH("minimization",LOWER(Z$2:Z$1000)))*ISNUMBER(SEARCH(LOWER(HE$36),LOWER(AB$2:AB$1000))))</f>
        <v>0</v>
      </c>
      <c r="HF49" cm="1">
        <f t="array" ref="HF49">SUMPRODUCT((Y$2:Y$1000="PS")*(F$2:F$1000=GZ49)*ISNUMBER(SEARCH("minimization",LOWER(Z$2:Z$1000)))*ISNUMBER(SEARCH(LOWER(HF$36),LOWER(AB$2:AB$1000))))</f>
        <v>0</v>
      </c>
      <c r="HG49" cm="1">
        <f t="array" ref="HG49">SUMPRODUCT((Y$2:Y$1000="PS")*(F$2:F$1000=GZ49)*ISNUMBER(SEARCH("minimization",LOWER(Z$2:Z$1000)))*ISNUMBER(SEARCH(LOWER(HG$36),LOWER(AB$2:AB$1000))))</f>
        <v>0</v>
      </c>
      <c r="HH49" cm="1">
        <f t="array" ref="HH49">SUMPRODUCT((Y$2:Y$1000="PS")*(F$2:F$1000=GZ49)*ISNUMBER(SEARCH("minimization",LOWER(Z$2:Z$1000)))*ISNUMBER(SEARCH(LOWER(HH$36),LOWER(AB$2:AB$1000))))</f>
        <v>0</v>
      </c>
      <c r="HI49" cm="1">
        <f t="array" ref="HI49">SUMPRODUCT((Y$2:Y$1000="PS")*(F$2:F$1000=GZ49)*ISNUMBER(SEARCH("minimization",LOWER(Z$2:Z$1000)))*ISNUMBER(SEARCH(LOWER(HI$36),LOWER(AB$2:AB$1000))))</f>
        <v>0</v>
      </c>
      <c r="HJ49" cm="1">
        <f t="array" ref="HJ49">SUMPRODUCT((Y$2:Y$1000="PS")*(F$2:F$1000=GZ49)*ISNUMBER(SEARCH("minimization",LOWER(Z$2:Z$1000)))*ISNUMBER(SEARCH(LOWER(HJ$36),LOWER(AB$2:AB$1000))))</f>
        <v>0</v>
      </c>
      <c r="HK49" cm="1">
        <f t="array" ref="HK49">SUMPRODUCT((Y$2:Y$1000="PS")*(F$2:F$1000=GZ49)*ISNUMBER(SEARCH("minimization",LOWER(Z$2:Z$1000)))*ISNUMBER(SEARCH(LOWER(HK$36),LOWER(AB$2:AB$1000))))</f>
        <v>0</v>
      </c>
      <c r="HL49" cm="1">
        <f t="array" ref="HL49">SUMPRODUCT((Y$2:Y$1000="PS")*(F$2:F$1000=GZ49)*ISNUMBER(SEARCH("minimization",LOWER(Z$2:Z$1000)))*ISNUMBER(SEARCH(LOWER(HL$36),LOWER(AB$2:AB$1000))))</f>
        <v>0</v>
      </c>
      <c r="HM49" cm="1">
        <f t="array" ref="HM49">SUMPRODUCT((Y$2:Y$1000="PS")*(F$2:F$1000=GZ49)*ISNUMBER(SEARCH("minimization",LOWER(Z$2:Z$1000)))*ISNUMBER(SEARCH(LOWER(HM$36),LOWER(AB$2:AB$1000))))</f>
        <v>0</v>
      </c>
    </row>
    <row r="50" spans="3:221" ht="86.4">
      <c r="C50" t="s">
        <v>583</v>
      </c>
      <c r="D50" t="s">
        <v>584</v>
      </c>
      <c r="E50" t="s">
        <v>585</v>
      </c>
      <c r="F50">
        <v>2019</v>
      </c>
      <c r="J50" t="s">
        <v>586</v>
      </c>
      <c r="Y50" t="s">
        <v>58</v>
      </c>
      <c r="Z50" s="4" t="s">
        <v>587</v>
      </c>
      <c r="AA50" s="18" t="s">
        <v>1361</v>
      </c>
      <c r="AB50" s="18" t="s">
        <v>1371</v>
      </c>
      <c r="AC50" s="18"/>
      <c r="AD50" s="18" t="s">
        <v>588</v>
      </c>
      <c r="AE50" s="4" t="s">
        <v>589</v>
      </c>
      <c r="AF50" s="18" t="s">
        <v>590</v>
      </c>
      <c r="AG50" s="18" t="s">
        <v>591</v>
      </c>
      <c r="AH50" s="18">
        <v>0</v>
      </c>
      <c r="AK50">
        <f t="shared" si="6"/>
        <v>1</v>
      </c>
      <c r="AL50">
        <f t="shared" si="0"/>
        <v>0</v>
      </c>
      <c r="AM50">
        <f t="shared" si="1"/>
        <v>0</v>
      </c>
      <c r="AN50">
        <f t="shared" si="2"/>
        <v>1</v>
      </c>
      <c r="CN50" t="s">
        <v>704</v>
      </c>
      <c r="EQ50">
        <v>3</v>
      </c>
      <c r="FQ50" t="s">
        <v>1302</v>
      </c>
    </row>
    <row r="51" spans="3:221" ht="86.4">
      <c r="C51" t="s">
        <v>592</v>
      </c>
      <c r="D51" t="s">
        <v>593</v>
      </c>
      <c r="E51" t="s">
        <v>594</v>
      </c>
      <c r="F51">
        <v>2022</v>
      </c>
      <c r="J51" t="s">
        <v>595</v>
      </c>
      <c r="Y51" t="s">
        <v>58</v>
      </c>
      <c r="Z51" s="4" t="s">
        <v>462</v>
      </c>
      <c r="AA51" s="18" t="s">
        <v>408</v>
      </c>
      <c r="AB51" s="18" t="s">
        <v>91</v>
      </c>
      <c r="AC51" s="18"/>
      <c r="AD51" s="18" t="s">
        <v>596</v>
      </c>
      <c r="AE51" s="4" t="s">
        <v>597</v>
      </c>
      <c r="AF51" s="18" t="s">
        <v>598</v>
      </c>
      <c r="AG51" s="18" t="s">
        <v>599</v>
      </c>
      <c r="AH51" s="18">
        <v>0</v>
      </c>
      <c r="AK51">
        <f t="shared" si="6"/>
        <v>1</v>
      </c>
      <c r="AL51">
        <f t="shared" si="0"/>
        <v>0</v>
      </c>
      <c r="AM51">
        <f t="shared" si="1"/>
        <v>0</v>
      </c>
      <c r="AN51">
        <f t="shared" si="2"/>
        <v>1</v>
      </c>
      <c r="FQ51" t="s">
        <v>1265</v>
      </c>
      <c r="FR51" t="s">
        <v>1266</v>
      </c>
    </row>
    <row r="52" spans="3:221" ht="86.4">
      <c r="C52" t="s">
        <v>600</v>
      </c>
      <c r="D52" t="s">
        <v>601</v>
      </c>
      <c r="E52" t="s">
        <v>602</v>
      </c>
      <c r="F52">
        <v>2022</v>
      </c>
      <c r="J52" t="s">
        <v>603</v>
      </c>
      <c r="Y52" t="s">
        <v>58</v>
      </c>
      <c r="Z52" s="4" t="s">
        <v>604</v>
      </c>
      <c r="AA52" s="18" t="s">
        <v>408</v>
      </c>
      <c r="AB52" s="18" t="s">
        <v>1383</v>
      </c>
      <c r="AC52" s="18" t="s">
        <v>384</v>
      </c>
      <c r="AD52" s="18" t="s">
        <v>605</v>
      </c>
      <c r="AE52" s="4" t="s">
        <v>606</v>
      </c>
      <c r="AF52" s="18" t="s">
        <v>607</v>
      </c>
      <c r="AG52" s="18" t="s">
        <v>608</v>
      </c>
      <c r="AH52" s="18">
        <v>0</v>
      </c>
      <c r="AK52">
        <f t="shared" si="6"/>
        <v>1</v>
      </c>
      <c r="AL52">
        <f t="shared" si="0"/>
        <v>1</v>
      </c>
      <c r="AM52">
        <f t="shared" si="1"/>
        <v>0</v>
      </c>
      <c r="AN52">
        <f t="shared" si="2"/>
        <v>1</v>
      </c>
      <c r="FQ52" t="s">
        <v>1303</v>
      </c>
      <c r="FR52" s="35" cm="1">
        <f t="array" ref="FR52">SUMPRODUCT((Y$2:Y$1000="PS")*ISNUMBER(SEARCH("search-based",LOWER(AA$2:AA$1000)))*ISNUMBER(SEARCH("minimization",LOWER(Z$2:Z$1000))))</f>
        <v>1</v>
      </c>
    </row>
    <row r="53" spans="3:221" ht="100.8">
      <c r="C53" t="s">
        <v>609</v>
      </c>
      <c r="D53" t="s">
        <v>610</v>
      </c>
      <c r="E53" t="s">
        <v>611</v>
      </c>
      <c r="F53">
        <v>2022</v>
      </c>
      <c r="J53" t="s">
        <v>612</v>
      </c>
      <c r="Y53" t="s">
        <v>58</v>
      </c>
      <c r="Z53" s="4" t="s">
        <v>613</v>
      </c>
      <c r="AA53" s="18" t="s">
        <v>408</v>
      </c>
      <c r="AB53" s="18" t="s">
        <v>91</v>
      </c>
      <c r="AC53" s="19"/>
      <c r="AD53" s="18" t="s">
        <v>614</v>
      </c>
      <c r="AE53" s="4" t="s">
        <v>615</v>
      </c>
      <c r="AF53" s="18" t="s">
        <v>616</v>
      </c>
      <c r="AG53" s="18" t="s">
        <v>617</v>
      </c>
      <c r="AH53" s="18">
        <v>0</v>
      </c>
      <c r="AK53">
        <f t="shared" si="6"/>
        <v>1</v>
      </c>
      <c r="AL53">
        <f t="shared" si="0"/>
        <v>0</v>
      </c>
      <c r="AM53">
        <f t="shared" si="1"/>
        <v>0</v>
      </c>
      <c r="AN53">
        <f t="shared" si="2"/>
        <v>1</v>
      </c>
      <c r="FQ53" t="s">
        <v>1301</v>
      </c>
      <c r="FR53" s="35" cm="1">
        <f t="array" ref="FR53">SUMPRODUCT((Y$2:Y$1000="PS")*ISNUMBER(SEARCH("minimization",LOWER(Z$2:Z$1000)))*(NOT(ISNUMBER(SEARCH("search-based",LOWER(AA$2:AA$1000))))))</f>
        <v>2</v>
      </c>
    </row>
    <row r="54" spans="3:221" ht="129.6">
      <c r="C54" t="s">
        <v>618</v>
      </c>
      <c r="D54" t="s">
        <v>619</v>
      </c>
      <c r="E54" t="s">
        <v>620</v>
      </c>
      <c r="F54">
        <v>2023</v>
      </c>
      <c r="J54" t="s">
        <v>621</v>
      </c>
      <c r="Y54" t="s">
        <v>58</v>
      </c>
      <c r="Z54" s="4" t="s">
        <v>622</v>
      </c>
      <c r="AA54" s="18" t="s">
        <v>142</v>
      </c>
      <c r="AB54" s="18" t="s">
        <v>1374</v>
      </c>
      <c r="AC54" s="18"/>
      <c r="AD54" s="18" t="s">
        <v>623</v>
      </c>
      <c r="AE54" s="4" t="s">
        <v>624</v>
      </c>
      <c r="AF54" s="18" t="s">
        <v>590</v>
      </c>
      <c r="AG54" s="18" t="s">
        <v>625</v>
      </c>
      <c r="AH54" s="18">
        <v>1</v>
      </c>
      <c r="AK54">
        <f t="shared" si="6"/>
        <v>1</v>
      </c>
      <c r="AL54">
        <f t="shared" si="0"/>
        <v>0</v>
      </c>
      <c r="AM54">
        <f t="shared" si="1"/>
        <v>0</v>
      </c>
      <c r="AN54">
        <f t="shared" si="2"/>
        <v>1</v>
      </c>
    </row>
    <row r="55" spans="3:221" ht="115.2">
      <c r="C55" t="s">
        <v>626</v>
      </c>
      <c r="D55" t="s">
        <v>627</v>
      </c>
      <c r="E55" t="s">
        <v>628</v>
      </c>
      <c r="F55">
        <v>2022</v>
      </c>
      <c r="J55" t="s">
        <v>629</v>
      </c>
      <c r="Y55" t="s">
        <v>58</v>
      </c>
      <c r="Z55" s="4" t="s">
        <v>613</v>
      </c>
      <c r="AA55" s="18" t="s">
        <v>630</v>
      </c>
      <c r="AB55" s="18" t="s">
        <v>207</v>
      </c>
      <c r="AC55" s="19"/>
      <c r="AD55" s="18" t="s">
        <v>631</v>
      </c>
      <c r="AE55" s="4" t="s">
        <v>632</v>
      </c>
      <c r="AF55" s="18" t="s">
        <v>633</v>
      </c>
      <c r="AG55" s="18" t="s">
        <v>634</v>
      </c>
      <c r="AH55" s="18">
        <v>0.5</v>
      </c>
      <c r="AK55">
        <f t="shared" si="6"/>
        <v>1</v>
      </c>
      <c r="AL55">
        <f t="shared" si="0"/>
        <v>0</v>
      </c>
      <c r="AM55">
        <f t="shared" si="1"/>
        <v>0</v>
      </c>
      <c r="AN55">
        <f t="shared" si="2"/>
        <v>1</v>
      </c>
    </row>
    <row r="56" spans="3:221" ht="144">
      <c r="C56" t="s">
        <v>635</v>
      </c>
      <c r="D56" t="s">
        <v>636</v>
      </c>
      <c r="E56" t="s">
        <v>637</v>
      </c>
      <c r="F56">
        <v>2023</v>
      </c>
      <c r="J56" t="s">
        <v>638</v>
      </c>
      <c r="Y56" t="s">
        <v>58</v>
      </c>
      <c r="Z56" s="4" t="s">
        <v>622</v>
      </c>
      <c r="AA56" s="18" t="s">
        <v>1362</v>
      </c>
      <c r="AB56" s="18" t="s">
        <v>1383</v>
      </c>
      <c r="AC56" s="18" t="s">
        <v>384</v>
      </c>
      <c r="AD56" s="18" t="s">
        <v>639</v>
      </c>
      <c r="AE56" s="4" t="s">
        <v>640</v>
      </c>
      <c r="AF56" s="18" t="s">
        <v>641</v>
      </c>
      <c r="AG56" s="18" t="s">
        <v>642</v>
      </c>
      <c r="AH56" s="18">
        <v>0.5</v>
      </c>
      <c r="AK56">
        <f t="shared" si="6"/>
        <v>1</v>
      </c>
      <c r="AL56">
        <f t="shared" si="0"/>
        <v>0</v>
      </c>
      <c r="AM56">
        <f t="shared" si="1"/>
        <v>0</v>
      </c>
      <c r="AN56">
        <f t="shared" si="2"/>
        <v>1</v>
      </c>
    </row>
    <row r="57" spans="3:221" ht="100.8">
      <c r="C57" t="s">
        <v>643</v>
      </c>
      <c r="D57" t="s">
        <v>644</v>
      </c>
      <c r="E57" t="s">
        <v>645</v>
      </c>
      <c r="F57">
        <v>2023</v>
      </c>
      <c r="J57" t="s">
        <v>646</v>
      </c>
      <c r="Y57" t="s">
        <v>58</v>
      </c>
      <c r="Z57" s="4" t="s">
        <v>622</v>
      </c>
      <c r="AA57" s="18" t="s">
        <v>1363</v>
      </c>
      <c r="AB57" s="18" t="s">
        <v>130</v>
      </c>
      <c r="AC57" s="19"/>
      <c r="AD57" s="18" t="s">
        <v>647</v>
      </c>
      <c r="AE57" s="4" t="s">
        <v>648</v>
      </c>
      <c r="AF57" s="18" t="s">
        <v>649</v>
      </c>
      <c r="AG57" s="18" t="s">
        <v>650</v>
      </c>
      <c r="AH57" s="18">
        <v>0</v>
      </c>
      <c r="AK57">
        <f t="shared" si="6"/>
        <v>1</v>
      </c>
      <c r="AL57">
        <f t="shared" si="0"/>
        <v>0</v>
      </c>
      <c r="AM57">
        <f t="shared" si="1"/>
        <v>0</v>
      </c>
      <c r="AN57">
        <f t="shared" si="2"/>
        <v>1</v>
      </c>
    </row>
    <row r="58" spans="3:221">
      <c r="C58" t="s">
        <v>651</v>
      </c>
      <c r="D58" t="s">
        <v>652</v>
      </c>
      <c r="E58" t="s">
        <v>653</v>
      </c>
      <c r="F58">
        <v>2019</v>
      </c>
      <c r="J58" t="s">
        <v>654</v>
      </c>
      <c r="Y58" t="s">
        <v>77</v>
      </c>
      <c r="Z58" s="20" t="s">
        <v>655</v>
      </c>
      <c r="AA58" s="20"/>
      <c r="AB58" s="20"/>
      <c r="AC58" s="20"/>
      <c r="AD58" s="20"/>
      <c r="AE58" s="20"/>
      <c r="AF58" s="20"/>
      <c r="AG58" s="20"/>
      <c r="AH58" s="20"/>
      <c r="AK58">
        <f t="shared" si="6"/>
        <v>0</v>
      </c>
      <c r="AL58">
        <f t="shared" si="0"/>
        <v>0</v>
      </c>
      <c r="AM58">
        <f t="shared" si="1"/>
        <v>0</v>
      </c>
      <c r="AN58">
        <f t="shared" si="2"/>
        <v>0</v>
      </c>
    </row>
    <row r="59" spans="3:221" ht="86.4">
      <c r="C59" t="s">
        <v>656</v>
      </c>
      <c r="D59" t="s">
        <v>636</v>
      </c>
      <c r="E59" t="s">
        <v>657</v>
      </c>
      <c r="F59">
        <v>2023</v>
      </c>
      <c r="J59" t="s">
        <v>658</v>
      </c>
      <c r="Y59" t="s">
        <v>58</v>
      </c>
      <c r="Z59" s="5" t="s">
        <v>659</v>
      </c>
      <c r="AA59" s="21" t="s">
        <v>408</v>
      </c>
      <c r="AB59" s="21" t="s">
        <v>409</v>
      </c>
      <c r="AC59" s="21" t="s">
        <v>115</v>
      </c>
      <c r="AD59" s="21" t="s">
        <v>660</v>
      </c>
      <c r="AE59" s="5" t="s">
        <v>661</v>
      </c>
      <c r="AF59" s="21" t="s">
        <v>662</v>
      </c>
      <c r="AG59" s="21" t="s">
        <v>663</v>
      </c>
      <c r="AH59" s="21">
        <v>0</v>
      </c>
      <c r="AK59">
        <f t="shared" si="6"/>
        <v>1</v>
      </c>
      <c r="AL59">
        <f t="shared" si="0"/>
        <v>0</v>
      </c>
      <c r="AM59">
        <f t="shared" si="1"/>
        <v>0</v>
      </c>
      <c r="AN59">
        <f t="shared" si="2"/>
        <v>1</v>
      </c>
    </row>
    <row r="60" spans="3:221" ht="57.6">
      <c r="C60" t="s">
        <v>664</v>
      </c>
      <c r="D60" t="s">
        <v>665</v>
      </c>
      <c r="E60" t="s">
        <v>666</v>
      </c>
      <c r="F60">
        <v>2021</v>
      </c>
      <c r="J60" t="s">
        <v>667</v>
      </c>
      <c r="Y60" t="s">
        <v>58</v>
      </c>
      <c r="Z60" s="4" t="s">
        <v>516</v>
      </c>
      <c r="AA60" s="18" t="s">
        <v>1273</v>
      </c>
      <c r="AB60" s="18" t="s">
        <v>409</v>
      </c>
      <c r="AC60" s="18" t="s">
        <v>704</v>
      </c>
      <c r="AD60" s="18" t="s">
        <v>668</v>
      </c>
      <c r="AE60" s="4" t="s">
        <v>669</v>
      </c>
      <c r="AF60" s="18" t="s">
        <v>670</v>
      </c>
      <c r="AG60" s="18" t="s">
        <v>591</v>
      </c>
      <c r="AH60" s="18">
        <v>0</v>
      </c>
      <c r="AK60">
        <f t="shared" si="6"/>
        <v>1</v>
      </c>
      <c r="AL60">
        <f t="shared" si="0"/>
        <v>0</v>
      </c>
      <c r="AM60">
        <f t="shared" si="1"/>
        <v>0</v>
      </c>
      <c r="AN60">
        <f t="shared" si="2"/>
        <v>1</v>
      </c>
    </row>
    <row r="61" spans="3:221" ht="72">
      <c r="C61" t="s">
        <v>671</v>
      </c>
      <c r="D61" t="s">
        <v>672</v>
      </c>
      <c r="E61" t="s">
        <v>673</v>
      </c>
      <c r="F61">
        <v>2022</v>
      </c>
      <c r="J61" t="s">
        <v>674</v>
      </c>
      <c r="Y61" t="s">
        <v>58</v>
      </c>
      <c r="Z61" s="5" t="s">
        <v>613</v>
      </c>
      <c r="AA61" s="21" t="s">
        <v>408</v>
      </c>
      <c r="AB61" s="21" t="s">
        <v>1383</v>
      </c>
      <c r="AC61" s="21" t="s">
        <v>675</v>
      </c>
      <c r="AD61" s="21" t="s">
        <v>676</v>
      </c>
      <c r="AE61" s="5" t="s">
        <v>677</v>
      </c>
      <c r="AF61" s="21" t="s">
        <v>678</v>
      </c>
      <c r="AG61" s="5" t="s">
        <v>679</v>
      </c>
      <c r="AH61" s="21">
        <v>0</v>
      </c>
      <c r="AK61">
        <f t="shared" si="6"/>
        <v>1</v>
      </c>
      <c r="AL61">
        <f t="shared" si="0"/>
        <v>0</v>
      </c>
      <c r="AM61">
        <f t="shared" si="1"/>
        <v>0</v>
      </c>
      <c r="AN61">
        <f t="shared" si="2"/>
        <v>1</v>
      </c>
    </row>
    <row r="62" spans="3:221" ht="115.2">
      <c r="C62" t="s">
        <v>680</v>
      </c>
      <c r="D62" t="s">
        <v>681</v>
      </c>
      <c r="E62" t="s">
        <v>682</v>
      </c>
      <c r="F62">
        <v>2024</v>
      </c>
      <c r="J62" t="s">
        <v>683</v>
      </c>
      <c r="Y62" t="s">
        <v>58</v>
      </c>
      <c r="Z62" s="4" t="s">
        <v>684</v>
      </c>
      <c r="AA62" s="18" t="s">
        <v>1367</v>
      </c>
      <c r="AB62" s="18" t="s">
        <v>1383</v>
      </c>
      <c r="AC62" s="18" t="s">
        <v>675</v>
      </c>
      <c r="AD62" s="18" t="s">
        <v>685</v>
      </c>
      <c r="AE62" s="4" t="s">
        <v>686</v>
      </c>
      <c r="AF62" s="18" t="s">
        <v>687</v>
      </c>
      <c r="AG62" s="18" t="s">
        <v>688</v>
      </c>
      <c r="AH62" s="18">
        <v>0</v>
      </c>
      <c r="AK62">
        <f t="shared" si="6"/>
        <v>1</v>
      </c>
      <c r="AL62">
        <f t="shared" si="0"/>
        <v>0</v>
      </c>
      <c r="AM62">
        <f t="shared" si="1"/>
        <v>1</v>
      </c>
      <c r="AN62">
        <f t="shared" si="2"/>
        <v>0</v>
      </c>
    </row>
    <row r="63" spans="3:221" ht="100.8">
      <c r="C63" t="s">
        <v>689</v>
      </c>
      <c r="D63" t="s">
        <v>459</v>
      </c>
      <c r="E63" t="s">
        <v>690</v>
      </c>
      <c r="F63">
        <v>2024</v>
      </c>
      <c r="J63" t="s">
        <v>691</v>
      </c>
      <c r="Y63" t="s">
        <v>58</v>
      </c>
      <c r="Z63" s="5" t="s">
        <v>569</v>
      </c>
      <c r="AA63" s="18" t="s">
        <v>408</v>
      </c>
      <c r="AB63" s="21" t="s">
        <v>1383</v>
      </c>
      <c r="AC63" s="21" t="s">
        <v>384</v>
      </c>
      <c r="AD63" s="21" t="s">
        <v>692</v>
      </c>
      <c r="AE63" s="5" t="s">
        <v>693</v>
      </c>
      <c r="AF63" s="21" t="s">
        <v>694</v>
      </c>
      <c r="AG63" s="21" t="s">
        <v>695</v>
      </c>
      <c r="AH63" s="21">
        <v>1</v>
      </c>
      <c r="AK63">
        <f t="shared" si="6"/>
        <v>1</v>
      </c>
      <c r="AL63">
        <f t="shared" si="0"/>
        <v>0</v>
      </c>
      <c r="AM63">
        <f t="shared" si="1"/>
        <v>0</v>
      </c>
      <c r="AN63">
        <f t="shared" si="2"/>
        <v>1</v>
      </c>
    </row>
    <row r="64" spans="3:221" ht="115.2">
      <c r="C64" s="2" t="s">
        <v>696</v>
      </c>
      <c r="D64" t="s">
        <v>513</v>
      </c>
      <c r="E64" t="s">
        <v>697</v>
      </c>
      <c r="F64">
        <v>2015</v>
      </c>
      <c r="J64" t="s">
        <v>698</v>
      </c>
      <c r="Y64" t="s">
        <v>58</v>
      </c>
      <c r="Z64" s="22" t="s">
        <v>699</v>
      </c>
      <c r="AA64" s="18" t="s">
        <v>408</v>
      </c>
      <c r="AB64" s="23" t="s">
        <v>1375</v>
      </c>
      <c r="AC64" s="23" t="s">
        <v>115</v>
      </c>
      <c r="AD64" s="23" t="s">
        <v>700</v>
      </c>
      <c r="AE64" s="22" t="s">
        <v>701</v>
      </c>
      <c r="AF64" s="23" t="s">
        <v>702</v>
      </c>
      <c r="AG64" s="23" t="s">
        <v>703</v>
      </c>
      <c r="AH64" s="23">
        <v>0.5</v>
      </c>
      <c r="AK64">
        <f t="shared" si="6"/>
        <v>1</v>
      </c>
      <c r="AL64">
        <f t="shared" si="0"/>
        <v>0</v>
      </c>
      <c r="AM64">
        <f t="shared" si="1"/>
        <v>0</v>
      </c>
      <c r="AN64">
        <f t="shared" si="2"/>
        <v>1</v>
      </c>
    </row>
    <row r="65" spans="1:180" ht="140.4">
      <c r="A65" s="24">
        <v>9260075</v>
      </c>
      <c r="B65" s="25" t="s">
        <v>34</v>
      </c>
      <c r="C65" s="26" t="s">
        <v>705</v>
      </c>
      <c r="D65" s="26" t="s">
        <v>706</v>
      </c>
      <c r="E65" s="26" t="s">
        <v>707</v>
      </c>
      <c r="F65" s="25">
        <v>2020</v>
      </c>
      <c r="G65" s="27"/>
      <c r="H65" s="27"/>
      <c r="I65" s="27" t="s">
        <v>708</v>
      </c>
      <c r="J65" s="25" t="s">
        <v>709</v>
      </c>
      <c r="K65" s="25" t="s">
        <v>710</v>
      </c>
      <c r="L65" s="25" t="s">
        <v>711</v>
      </c>
      <c r="M65" s="25"/>
      <c r="N65" s="25" t="s">
        <v>393</v>
      </c>
      <c r="O65" s="25"/>
      <c r="P65" s="25"/>
      <c r="Q65" s="25"/>
      <c r="R65" s="25"/>
      <c r="S65" s="25"/>
      <c r="T65" s="25"/>
      <c r="U65" s="25"/>
      <c r="V65" s="25"/>
      <c r="W65" s="25"/>
      <c r="X65" s="25" t="s">
        <v>712</v>
      </c>
      <c r="Y65" s="27" t="s">
        <v>58</v>
      </c>
      <c r="Z65" s="26" t="s">
        <v>713</v>
      </c>
      <c r="AA65" s="26" t="s">
        <v>142</v>
      </c>
      <c r="AB65" s="26" t="s">
        <v>463</v>
      </c>
      <c r="AC65" s="26"/>
      <c r="AD65" s="26" t="s">
        <v>714</v>
      </c>
      <c r="AE65" s="26" t="s">
        <v>715</v>
      </c>
      <c r="AF65" s="26" t="s">
        <v>716</v>
      </c>
      <c r="AG65" s="26" t="s">
        <v>717</v>
      </c>
      <c r="AH65" s="26">
        <v>0</v>
      </c>
      <c r="AI65" s="26"/>
      <c r="AJ65" s="25"/>
      <c r="AK65">
        <f t="shared" si="6"/>
        <v>1</v>
      </c>
      <c r="AL65">
        <f t="shared" si="0"/>
        <v>0</v>
      </c>
      <c r="AM65">
        <f t="shared" si="1"/>
        <v>0</v>
      </c>
      <c r="AN65">
        <f t="shared" si="2"/>
        <v>1</v>
      </c>
    </row>
    <row r="66" spans="1:180" ht="187.2">
      <c r="A66" s="24">
        <v>8914670</v>
      </c>
      <c r="B66" s="25" t="s">
        <v>34</v>
      </c>
      <c r="C66" s="26" t="s">
        <v>718</v>
      </c>
      <c r="D66" s="26" t="s">
        <v>719</v>
      </c>
      <c r="E66" s="26" t="s">
        <v>720</v>
      </c>
      <c r="F66" s="25">
        <v>2019</v>
      </c>
      <c r="G66" s="27"/>
      <c r="H66" s="27"/>
      <c r="I66" s="27" t="s">
        <v>721</v>
      </c>
      <c r="J66" s="25" t="s">
        <v>722</v>
      </c>
      <c r="K66" s="25" t="s">
        <v>723</v>
      </c>
      <c r="L66" s="25" t="s">
        <v>724</v>
      </c>
      <c r="M66" s="25" t="s">
        <v>725</v>
      </c>
      <c r="N66" s="25" t="s">
        <v>393</v>
      </c>
      <c r="O66" s="25"/>
      <c r="P66" s="25"/>
      <c r="Q66" s="25"/>
      <c r="R66" s="25"/>
      <c r="S66" s="25"/>
      <c r="T66" s="25"/>
      <c r="U66" s="25"/>
      <c r="V66" s="25"/>
      <c r="W66" s="25"/>
      <c r="X66" s="25" t="s">
        <v>726</v>
      </c>
      <c r="Y66" s="27" t="s">
        <v>58</v>
      </c>
      <c r="Z66" s="26" t="s">
        <v>727</v>
      </c>
      <c r="AA66" s="26" t="s">
        <v>408</v>
      </c>
      <c r="AB66" s="26" t="s">
        <v>1386</v>
      </c>
      <c r="AC66" s="26" t="s">
        <v>728</v>
      </c>
      <c r="AD66" s="26" t="s">
        <v>47</v>
      </c>
      <c r="AE66" s="26" t="s">
        <v>729</v>
      </c>
      <c r="AF66" s="26" t="s">
        <v>730</v>
      </c>
      <c r="AG66" s="26" t="s">
        <v>66</v>
      </c>
      <c r="AH66" s="26">
        <v>0</v>
      </c>
      <c r="AI66" s="26"/>
      <c r="AJ66" s="25"/>
      <c r="AK66">
        <f t="shared" si="6"/>
        <v>1</v>
      </c>
      <c r="AL66">
        <f t="shared" si="0"/>
        <v>0</v>
      </c>
      <c r="AM66">
        <f t="shared" si="1"/>
        <v>0</v>
      </c>
      <c r="AN66">
        <f t="shared" si="2"/>
        <v>1</v>
      </c>
    </row>
    <row r="67" spans="1:180" ht="187.2">
      <c r="A67" s="24">
        <v>8305938</v>
      </c>
      <c r="B67" s="25" t="s">
        <v>34</v>
      </c>
      <c r="C67" s="26" t="s">
        <v>731</v>
      </c>
      <c r="D67" s="26" t="s">
        <v>161</v>
      </c>
      <c r="E67" s="26" t="s">
        <v>732</v>
      </c>
      <c r="F67" s="25">
        <v>2017</v>
      </c>
      <c r="G67" s="27"/>
      <c r="H67" s="27"/>
      <c r="I67" s="27" t="s">
        <v>733</v>
      </c>
      <c r="J67" s="25" t="s">
        <v>734</v>
      </c>
      <c r="K67" s="25" t="s">
        <v>735</v>
      </c>
      <c r="L67" s="25" t="s">
        <v>736</v>
      </c>
      <c r="M67" s="25"/>
      <c r="N67" s="25" t="s">
        <v>167</v>
      </c>
      <c r="O67" s="25"/>
      <c r="P67" s="25"/>
      <c r="Q67" s="25"/>
      <c r="R67" s="25"/>
      <c r="S67" s="25"/>
      <c r="T67" s="25"/>
      <c r="U67" s="25"/>
      <c r="V67" s="25"/>
      <c r="W67" s="25"/>
      <c r="X67" s="25" t="s">
        <v>737</v>
      </c>
      <c r="Y67" s="27" t="s">
        <v>58</v>
      </c>
      <c r="Z67" s="26" t="s">
        <v>738</v>
      </c>
      <c r="AA67" s="26" t="s">
        <v>114</v>
      </c>
      <c r="AB67" s="26" t="s">
        <v>1372</v>
      </c>
      <c r="AC67" s="26"/>
      <c r="AD67" s="26" t="s">
        <v>739</v>
      </c>
      <c r="AE67" s="26" t="s">
        <v>740</v>
      </c>
      <c r="AF67" s="26" t="s">
        <v>716</v>
      </c>
      <c r="AG67" s="26" t="s">
        <v>741</v>
      </c>
      <c r="AH67" s="26">
        <v>0</v>
      </c>
      <c r="AI67" s="26"/>
      <c r="AJ67" s="25"/>
      <c r="AK67">
        <f t="shared" si="6"/>
        <v>1</v>
      </c>
      <c r="AL67">
        <f t="shared" ref="AL67:AL126" si="9">IF(AND(Y67="PS",ISNUMBER(SEARCH("minimization",Z67))),1,0)</f>
        <v>0</v>
      </c>
      <c r="AM67">
        <f t="shared" ref="AM67:AM126" si="10">IF(AND(Y67="PS",ISNUMBER(SEARCH("selection",Z67))),1,0)</f>
        <v>1</v>
      </c>
      <c r="AN67">
        <f t="shared" ref="AN67:AN126" si="11">IF(AND(Y67="PS",ISNUMBER(SEARCH("prioritization",Z67))),1,0)</f>
        <v>1</v>
      </c>
    </row>
    <row r="68" spans="1:180" ht="140.4">
      <c r="A68" s="24">
        <v>8453107</v>
      </c>
      <c r="B68" s="25" t="s">
        <v>34</v>
      </c>
      <c r="C68" s="26" t="s">
        <v>742</v>
      </c>
      <c r="D68" s="26" t="s">
        <v>743</v>
      </c>
      <c r="E68" s="26" t="s">
        <v>744</v>
      </c>
      <c r="F68" s="25">
        <v>2018</v>
      </c>
      <c r="G68" s="27"/>
      <c r="H68" s="27"/>
      <c r="I68" s="27" t="s">
        <v>745</v>
      </c>
      <c r="J68" s="25" t="s">
        <v>746</v>
      </c>
      <c r="K68" s="25" t="s">
        <v>747</v>
      </c>
      <c r="L68" s="25" t="s">
        <v>748</v>
      </c>
      <c r="M68" s="25" t="s">
        <v>749</v>
      </c>
      <c r="N68" s="25" t="s">
        <v>75</v>
      </c>
      <c r="O68" s="25"/>
      <c r="P68" s="25"/>
      <c r="Q68" s="25"/>
      <c r="R68" s="25"/>
      <c r="S68" s="25"/>
      <c r="T68" s="25"/>
      <c r="U68" s="25"/>
      <c r="V68" s="25"/>
      <c r="W68" s="25"/>
      <c r="X68" s="25" t="s">
        <v>750</v>
      </c>
      <c r="Y68" s="27" t="s">
        <v>58</v>
      </c>
      <c r="Z68" s="26" t="s">
        <v>1051</v>
      </c>
      <c r="AA68" s="26"/>
      <c r="AB68" s="26"/>
      <c r="AC68" s="26"/>
      <c r="AD68" s="26"/>
      <c r="AE68" s="26"/>
      <c r="AF68" s="26"/>
      <c r="AG68" s="26"/>
      <c r="AH68" s="26"/>
      <c r="AI68" s="26" t="s">
        <v>751</v>
      </c>
      <c r="AJ68" s="25"/>
      <c r="AK68">
        <f t="shared" ref="AK68:AK126" si="12">IF(Y68="PS",1,0)</f>
        <v>1</v>
      </c>
      <c r="AL68">
        <f t="shared" si="9"/>
        <v>0</v>
      </c>
      <c r="AM68">
        <f t="shared" si="10"/>
        <v>0</v>
      </c>
      <c r="AN68">
        <f t="shared" si="11"/>
        <v>1</v>
      </c>
    </row>
    <row r="69" spans="1:180" ht="124.8">
      <c r="A69" s="24">
        <v>8754416</v>
      </c>
      <c r="B69" s="25" t="s">
        <v>34</v>
      </c>
      <c r="C69" s="26" t="s">
        <v>752</v>
      </c>
      <c r="D69" s="26" t="s">
        <v>753</v>
      </c>
      <c r="E69" s="26" t="s">
        <v>754</v>
      </c>
      <c r="F69" s="25">
        <v>2019</v>
      </c>
      <c r="G69" s="27">
        <v>1</v>
      </c>
      <c r="H69" s="27"/>
      <c r="I69" s="27" t="s">
        <v>755</v>
      </c>
      <c r="J69" s="25" t="s">
        <v>756</v>
      </c>
      <c r="K69" s="25" t="s">
        <v>757</v>
      </c>
      <c r="L69" s="25" t="s">
        <v>758</v>
      </c>
      <c r="M69" s="25" t="s">
        <v>55</v>
      </c>
      <c r="N69" s="25" t="s">
        <v>759</v>
      </c>
      <c r="O69" s="25"/>
      <c r="P69" s="25"/>
      <c r="Q69" s="25"/>
      <c r="R69" s="25"/>
      <c r="S69" s="25"/>
      <c r="T69" s="25"/>
      <c r="U69" s="25"/>
      <c r="V69" s="25"/>
      <c r="W69" s="25"/>
      <c r="X69" s="25" t="s">
        <v>760</v>
      </c>
      <c r="Y69" s="27" t="s">
        <v>58</v>
      </c>
      <c r="Z69" s="26" t="s">
        <v>727</v>
      </c>
      <c r="AA69" s="26" t="s">
        <v>408</v>
      </c>
      <c r="AB69" s="26" t="s">
        <v>550</v>
      </c>
      <c r="AC69" s="26" t="s">
        <v>728</v>
      </c>
      <c r="AD69" s="28" t="s">
        <v>761</v>
      </c>
      <c r="AE69" s="26" t="s">
        <v>762</v>
      </c>
      <c r="AF69" s="26" t="s">
        <v>763</v>
      </c>
      <c r="AG69" s="26" t="s">
        <v>764</v>
      </c>
      <c r="AH69" s="26">
        <v>0.5</v>
      </c>
      <c r="AI69" s="26"/>
      <c r="AJ69" s="25"/>
      <c r="AK69">
        <f t="shared" si="12"/>
        <v>1</v>
      </c>
      <c r="AL69">
        <f t="shared" si="9"/>
        <v>0</v>
      </c>
      <c r="AM69">
        <f t="shared" si="10"/>
        <v>0</v>
      </c>
      <c r="AN69">
        <f t="shared" si="11"/>
        <v>1</v>
      </c>
    </row>
    <row r="70" spans="1:180" ht="140.4">
      <c r="A70" s="24">
        <v>7582788</v>
      </c>
      <c r="B70" s="25" t="s">
        <v>34</v>
      </c>
      <c r="C70" s="26" t="s">
        <v>765</v>
      </c>
      <c r="D70" s="26" t="s">
        <v>766</v>
      </c>
      <c r="E70" s="26" t="s">
        <v>767</v>
      </c>
      <c r="F70" s="25">
        <v>2016</v>
      </c>
      <c r="G70" s="27"/>
      <c r="H70" s="27"/>
      <c r="I70" s="27" t="s">
        <v>768</v>
      </c>
      <c r="J70" s="25" t="s">
        <v>769</v>
      </c>
      <c r="K70" s="25" t="s">
        <v>770</v>
      </c>
      <c r="L70" s="25"/>
      <c r="M70" s="25"/>
      <c r="N70" s="25" t="s">
        <v>353</v>
      </c>
      <c r="O70" s="25"/>
      <c r="P70" s="25"/>
      <c r="Q70" s="25"/>
      <c r="R70" s="25"/>
      <c r="S70" s="25"/>
      <c r="T70" s="25"/>
      <c r="U70" s="25"/>
      <c r="V70" s="25"/>
      <c r="W70" s="25"/>
      <c r="X70" s="25" t="s">
        <v>771</v>
      </c>
      <c r="Y70" s="27" t="s">
        <v>58</v>
      </c>
      <c r="Z70" s="26" t="s">
        <v>1018</v>
      </c>
      <c r="AA70" s="26" t="s">
        <v>1290</v>
      </c>
      <c r="AB70" s="26"/>
      <c r="AC70" s="26"/>
      <c r="AD70" s="26"/>
      <c r="AE70" s="26"/>
      <c r="AF70" s="26"/>
      <c r="AG70" s="26"/>
      <c r="AH70" s="26"/>
      <c r="AI70" s="26" t="s">
        <v>751</v>
      </c>
      <c r="AJ70" s="25"/>
      <c r="AK70">
        <f t="shared" si="12"/>
        <v>1</v>
      </c>
      <c r="AL70">
        <f t="shared" si="9"/>
        <v>0</v>
      </c>
      <c r="AM70">
        <f t="shared" si="10"/>
        <v>1</v>
      </c>
      <c r="AN70">
        <f t="shared" si="11"/>
        <v>0</v>
      </c>
      <c r="FV70" t="s">
        <v>1302</v>
      </c>
    </row>
    <row r="71" spans="1:180" ht="124.8">
      <c r="A71" s="24" t="s">
        <v>772</v>
      </c>
      <c r="B71" s="25" t="s">
        <v>773</v>
      </c>
      <c r="C71" s="26" t="s">
        <v>774</v>
      </c>
      <c r="D71" s="26" t="s">
        <v>775</v>
      </c>
      <c r="E71" s="26" t="s">
        <v>776</v>
      </c>
      <c r="F71" s="25">
        <v>2017</v>
      </c>
      <c r="G71" s="27"/>
      <c r="H71" s="27"/>
      <c r="I71" s="27" t="s">
        <v>777</v>
      </c>
      <c r="J71" s="25" t="s">
        <v>778</v>
      </c>
      <c r="K71" s="25" t="s">
        <v>779</v>
      </c>
      <c r="L71" s="25" t="s">
        <v>772</v>
      </c>
      <c r="M71" s="25"/>
      <c r="N71" s="25"/>
      <c r="O71" s="25"/>
      <c r="P71" s="25">
        <v>9781450344869</v>
      </c>
      <c r="Q71" s="25" t="s">
        <v>780</v>
      </c>
      <c r="R71" s="25" t="s">
        <v>781</v>
      </c>
      <c r="S71" s="29" t="s">
        <v>782</v>
      </c>
      <c r="T71" s="25">
        <v>7</v>
      </c>
      <c r="U71" s="25" t="s">
        <v>783</v>
      </c>
      <c r="V71" s="25" t="s">
        <v>784</v>
      </c>
      <c r="W71" s="25"/>
      <c r="X71" s="25" t="s">
        <v>785</v>
      </c>
      <c r="Y71" s="27" t="s">
        <v>58</v>
      </c>
      <c r="Z71" s="26" t="s">
        <v>786</v>
      </c>
      <c r="AA71" s="26" t="s">
        <v>408</v>
      </c>
      <c r="AB71" s="26" t="s">
        <v>787</v>
      </c>
      <c r="AC71" s="26"/>
      <c r="AD71" s="26" t="s">
        <v>788</v>
      </c>
      <c r="AE71" s="26" t="s">
        <v>789</v>
      </c>
      <c r="AF71" s="26" t="s">
        <v>716</v>
      </c>
      <c r="AG71" s="26" t="s">
        <v>66</v>
      </c>
      <c r="AH71" s="26">
        <v>0</v>
      </c>
      <c r="AI71" s="26"/>
      <c r="AJ71" s="25"/>
      <c r="AK71">
        <f t="shared" si="12"/>
        <v>1</v>
      </c>
      <c r="AL71">
        <f t="shared" si="9"/>
        <v>0</v>
      </c>
      <c r="AM71">
        <f t="shared" si="10"/>
        <v>0</v>
      </c>
      <c r="AN71">
        <f t="shared" si="11"/>
        <v>1</v>
      </c>
      <c r="FV71" t="s">
        <v>1306</v>
      </c>
      <c r="FW71" t="s">
        <v>1303</v>
      </c>
      <c r="FX71" t="s">
        <v>1301</v>
      </c>
    </row>
    <row r="72" spans="1:180" ht="93.6">
      <c r="A72" s="24" t="s">
        <v>790</v>
      </c>
      <c r="B72" s="25" t="s">
        <v>791</v>
      </c>
      <c r="C72" s="26" t="s">
        <v>792</v>
      </c>
      <c r="D72" s="26"/>
      <c r="E72" s="26" t="s">
        <v>793</v>
      </c>
      <c r="F72" s="25">
        <v>2021</v>
      </c>
      <c r="G72" s="27">
        <v>33</v>
      </c>
      <c r="H72" s="27">
        <v>9</v>
      </c>
      <c r="I72" s="27" t="s">
        <v>794</v>
      </c>
      <c r="J72" s="25" t="s">
        <v>795</v>
      </c>
      <c r="K72" s="25" t="s">
        <v>796</v>
      </c>
      <c r="L72" s="29" t="s">
        <v>797</v>
      </c>
      <c r="M72" s="25" t="s">
        <v>798</v>
      </c>
      <c r="N72" s="25"/>
      <c r="O72" s="25" t="s">
        <v>799</v>
      </c>
      <c r="P72" s="25"/>
      <c r="Q72" s="25"/>
      <c r="R72" s="25"/>
      <c r="S72" s="29" t="s">
        <v>800</v>
      </c>
      <c r="T72" s="25"/>
      <c r="U72" s="25"/>
      <c r="V72" s="25"/>
      <c r="W72" s="25"/>
      <c r="X72" s="25" t="s">
        <v>801</v>
      </c>
      <c r="Y72" s="27" t="s">
        <v>44</v>
      </c>
      <c r="Z72" s="26" t="s">
        <v>802</v>
      </c>
      <c r="AA72" s="43" t="s">
        <v>77</v>
      </c>
      <c r="AB72" s="43"/>
      <c r="AC72" s="43"/>
      <c r="AD72" s="43"/>
      <c r="AE72" s="43"/>
      <c r="AF72" s="43"/>
      <c r="AG72" s="43"/>
      <c r="AH72" s="43"/>
      <c r="AI72" s="26"/>
      <c r="AJ72" s="25"/>
      <c r="AK72">
        <f t="shared" si="12"/>
        <v>0</v>
      </c>
      <c r="AL72">
        <f t="shared" si="9"/>
        <v>0</v>
      </c>
      <c r="AM72">
        <f t="shared" si="10"/>
        <v>0</v>
      </c>
      <c r="AN72">
        <f t="shared" si="11"/>
        <v>0</v>
      </c>
      <c r="FV72">
        <v>2013</v>
      </c>
      <c r="FW72" s="35" cm="1">
        <f t="array" ref="FW72">SUMPRODUCT((Y$2:Y$1000="PS")*(F$2:F$1000=FV72)*ISNUMBER(SEARCH("minimization",LOWER(Z$2:Z$1000)))*ISNUMBER(SEARCH("search-based",LOWER(AA$2:AA$1000))))</f>
        <v>0</v>
      </c>
      <c r="FX72" s="35" cm="1">
        <f t="array" ref="FX72">SUMPRODUCT((Y$2:Y$1000="PS")*(F$2:F$1000=FV72)*ISNUMBER(SEARCH("minimization",LOWER(Z$2:Z$1000)))*(NOT(ISNUMBER(SEARCH("search-based",LOWER(AA$2:AA$1000))))))</f>
        <v>1</v>
      </c>
    </row>
    <row r="73" spans="1:180" ht="156">
      <c r="A73" s="24" t="s">
        <v>803</v>
      </c>
      <c r="B73" s="25" t="s">
        <v>791</v>
      </c>
      <c r="C73" s="26" t="s">
        <v>804</v>
      </c>
      <c r="D73" s="26"/>
      <c r="E73" s="26" t="s">
        <v>805</v>
      </c>
      <c r="F73" s="25">
        <v>2019</v>
      </c>
      <c r="G73" s="27">
        <v>153</v>
      </c>
      <c r="H73" s="27"/>
      <c r="I73" s="27" t="s">
        <v>806</v>
      </c>
      <c r="J73" s="25" t="s">
        <v>807</v>
      </c>
      <c r="K73" s="25" t="s">
        <v>808</v>
      </c>
      <c r="L73" s="29" t="s">
        <v>809</v>
      </c>
      <c r="M73" s="25" t="s">
        <v>810</v>
      </c>
      <c r="N73" s="25"/>
      <c r="O73" s="25" t="s">
        <v>513</v>
      </c>
      <c r="P73" s="25"/>
      <c r="Q73" s="25"/>
      <c r="R73" s="25"/>
      <c r="S73" s="29" t="s">
        <v>811</v>
      </c>
      <c r="T73" s="25"/>
      <c r="U73" s="25"/>
      <c r="V73" s="25"/>
      <c r="W73" s="25"/>
      <c r="X73" s="25" t="s">
        <v>812</v>
      </c>
      <c r="Y73" s="27" t="s">
        <v>58</v>
      </c>
      <c r="Z73" s="26" t="s">
        <v>727</v>
      </c>
      <c r="AA73" s="26" t="s">
        <v>408</v>
      </c>
      <c r="AB73" s="26" t="s">
        <v>1372</v>
      </c>
      <c r="AC73" s="26" t="s">
        <v>813</v>
      </c>
      <c r="AD73" s="26" t="s">
        <v>814</v>
      </c>
      <c r="AE73" s="26" t="s">
        <v>815</v>
      </c>
      <c r="AF73" s="26" t="s">
        <v>816</v>
      </c>
      <c r="AG73" s="26" t="s">
        <v>817</v>
      </c>
      <c r="AH73" s="26">
        <v>0</v>
      </c>
      <c r="AI73" s="26"/>
      <c r="AJ73" s="25"/>
      <c r="AK73">
        <f t="shared" si="12"/>
        <v>1</v>
      </c>
      <c r="AL73">
        <f t="shared" si="9"/>
        <v>0</v>
      </c>
      <c r="AM73">
        <f t="shared" si="10"/>
        <v>0</v>
      </c>
      <c r="AN73">
        <f t="shared" si="11"/>
        <v>1</v>
      </c>
      <c r="FV73">
        <v>2014</v>
      </c>
      <c r="FW73" s="35" cm="1">
        <f t="array" ref="FW73">SUMPRODUCT((Y$2:Y$1000="PS")*(F$2:F$1000=FV73)*ISNUMBER(SEARCH("minimization",LOWER(Z$2:Z$1000)))*ISNUMBER(SEARCH("search-based",LOWER(AA$2:AA$1000))))</f>
        <v>0</v>
      </c>
      <c r="FX73" s="35" cm="1">
        <f t="array" ref="FX73">SUMPRODUCT((Y$2:Y$1000="PS")*(F$2:F$1000=FV73)*ISNUMBER(SEARCH("minimization",LOWER(Z$2:Z$1000)))*(NOT(ISNUMBER(SEARCH("search-based",LOWER(AA$2:AA$1000))))))</f>
        <v>0</v>
      </c>
    </row>
    <row r="74" spans="1:180" ht="171.6">
      <c r="A74" s="24" t="s">
        <v>818</v>
      </c>
      <c r="B74" s="25" t="s">
        <v>791</v>
      </c>
      <c r="C74" s="26" t="s">
        <v>819</v>
      </c>
      <c r="D74" s="26"/>
      <c r="E74" s="26" t="s">
        <v>820</v>
      </c>
      <c r="F74" s="25">
        <v>2018</v>
      </c>
      <c r="G74" s="27">
        <v>135</v>
      </c>
      <c r="H74" s="27"/>
      <c r="I74" s="27" t="s">
        <v>821</v>
      </c>
      <c r="J74" s="25" t="s">
        <v>822</v>
      </c>
      <c r="K74" s="25" t="s">
        <v>823</v>
      </c>
      <c r="L74" s="29" t="s">
        <v>824</v>
      </c>
      <c r="M74" s="25" t="s">
        <v>810</v>
      </c>
      <c r="N74" s="25"/>
      <c r="O74" s="25" t="s">
        <v>513</v>
      </c>
      <c r="P74" s="25"/>
      <c r="Q74" s="25"/>
      <c r="R74" s="25"/>
      <c r="S74" s="29" t="s">
        <v>825</v>
      </c>
      <c r="T74" s="25"/>
      <c r="U74" s="25"/>
      <c r="V74" s="25"/>
      <c r="W74" s="25"/>
      <c r="X74" s="25" t="s">
        <v>826</v>
      </c>
      <c r="Y74" s="27" t="s">
        <v>58</v>
      </c>
      <c r="Z74" s="26" t="s">
        <v>727</v>
      </c>
      <c r="AA74" s="26" t="s">
        <v>408</v>
      </c>
      <c r="AB74" s="26" t="s">
        <v>463</v>
      </c>
      <c r="AC74" s="26"/>
      <c r="AD74" s="26" t="s">
        <v>827</v>
      </c>
      <c r="AE74" s="26" t="s">
        <v>828</v>
      </c>
      <c r="AF74" s="26" t="s">
        <v>829</v>
      </c>
      <c r="AG74" s="26" t="s">
        <v>830</v>
      </c>
      <c r="AH74" s="26">
        <v>0</v>
      </c>
      <c r="AI74" s="26"/>
      <c r="AJ74" s="25"/>
      <c r="AK74">
        <f t="shared" si="12"/>
        <v>1</v>
      </c>
      <c r="AL74">
        <f t="shared" si="9"/>
        <v>0</v>
      </c>
      <c r="AM74">
        <f t="shared" si="10"/>
        <v>0</v>
      </c>
      <c r="AN74">
        <f t="shared" si="11"/>
        <v>1</v>
      </c>
      <c r="FV74">
        <v>2015</v>
      </c>
      <c r="FW74" s="35" cm="1">
        <f t="array" ref="FW74">SUMPRODUCT((Y$2:Y$1000="PS")*(F$2:F$1000=FV74)*ISNUMBER(SEARCH("minimization",LOWER(Z$2:Z$1000)))*ISNUMBER(SEARCH("search-based",LOWER(AA$2:AA$1000))))</f>
        <v>0</v>
      </c>
      <c r="FX74" s="35" cm="1">
        <f t="array" ref="FX74">SUMPRODUCT((Y$2:Y$1000="PS")*(F$2:F$1000=FV74)*ISNUMBER(SEARCH("minimization",LOWER(Z$2:Z$1000)))*(NOT(ISNUMBER(SEARCH("search-based",LOWER(AA$2:AA$1000))))))</f>
        <v>0</v>
      </c>
    </row>
    <row r="75" spans="1:180" ht="78">
      <c r="A75" s="24" t="s">
        <v>831</v>
      </c>
      <c r="B75" s="25" t="s">
        <v>791</v>
      </c>
      <c r="C75" s="26" t="s">
        <v>832</v>
      </c>
      <c r="D75" s="26"/>
      <c r="E75" s="26" t="s">
        <v>833</v>
      </c>
      <c r="F75" s="25">
        <v>2022</v>
      </c>
      <c r="G75" s="27">
        <v>34</v>
      </c>
      <c r="H75" s="27" t="s">
        <v>834</v>
      </c>
      <c r="I75" s="27" t="s">
        <v>835</v>
      </c>
      <c r="J75" s="25" t="s">
        <v>836</v>
      </c>
      <c r="K75" s="25" t="s">
        <v>837</v>
      </c>
      <c r="L75" s="29" t="s">
        <v>838</v>
      </c>
      <c r="M75" s="25" t="s">
        <v>798</v>
      </c>
      <c r="N75" s="25"/>
      <c r="O75" s="25" t="s">
        <v>799</v>
      </c>
      <c r="P75" s="25"/>
      <c r="Q75" s="25"/>
      <c r="R75" s="25"/>
      <c r="S75" s="29" t="s">
        <v>839</v>
      </c>
      <c r="T75" s="25"/>
      <c r="U75" s="25"/>
      <c r="V75" s="25"/>
      <c r="W75" s="25"/>
      <c r="X75" s="25" t="s">
        <v>840</v>
      </c>
      <c r="Y75" s="27" t="s">
        <v>58</v>
      </c>
      <c r="Z75" s="26" t="s">
        <v>802</v>
      </c>
      <c r="AA75" s="26" t="s">
        <v>60</v>
      </c>
      <c r="AB75" s="26" t="s">
        <v>1315</v>
      </c>
      <c r="AC75" s="26" t="s">
        <v>728</v>
      </c>
      <c r="AD75" s="26" t="s">
        <v>841</v>
      </c>
      <c r="AE75" s="26" t="s">
        <v>842</v>
      </c>
      <c r="AF75" s="26" t="s">
        <v>843</v>
      </c>
      <c r="AG75" s="26" t="s">
        <v>66</v>
      </c>
      <c r="AH75" s="26">
        <v>0.5</v>
      </c>
      <c r="AI75" s="26"/>
      <c r="AJ75" s="25"/>
      <c r="AK75">
        <f t="shared" si="12"/>
        <v>1</v>
      </c>
      <c r="AL75">
        <f t="shared" si="9"/>
        <v>0</v>
      </c>
      <c r="AM75">
        <f t="shared" si="10"/>
        <v>0</v>
      </c>
      <c r="AN75">
        <f t="shared" si="11"/>
        <v>1</v>
      </c>
      <c r="FV75">
        <v>2016</v>
      </c>
      <c r="FW75" s="35" cm="1">
        <f t="array" ref="FW75">SUMPRODUCT((Y$2:Y$1000="PS")*(F$2:F$1000=FV75)*ISNUMBER(SEARCH("minimization",LOWER(Z$2:Z$1000)))*ISNUMBER(SEARCH("search-based",LOWER(AA$2:AA$1000))))</f>
        <v>0</v>
      </c>
      <c r="FX75" s="35" cm="1">
        <f t="array" ref="FX75">SUMPRODUCT((Y$2:Y$1000="PS")*(F$2:F$1000=FV75)*ISNUMBER(SEARCH("minimization",LOWER(Z$2:Z$1000)))*(NOT(ISNUMBER(SEARCH("search-based",LOWER(AA$2:AA$1000))))))</f>
        <v>0</v>
      </c>
    </row>
    <row r="76" spans="1:180" ht="187.2">
      <c r="A76" s="24" t="s">
        <v>844</v>
      </c>
      <c r="B76" s="25" t="s">
        <v>791</v>
      </c>
      <c r="C76" s="26" t="s">
        <v>845</v>
      </c>
      <c r="D76" s="26"/>
      <c r="E76" s="26" t="s">
        <v>846</v>
      </c>
      <c r="F76" s="25">
        <v>2020</v>
      </c>
      <c r="G76" s="27">
        <v>163</v>
      </c>
      <c r="H76" s="27"/>
      <c r="I76" s="27" t="s">
        <v>847</v>
      </c>
      <c r="J76" s="25" t="s">
        <v>848</v>
      </c>
      <c r="K76" s="25" t="s">
        <v>849</v>
      </c>
      <c r="L76" s="29" t="s">
        <v>850</v>
      </c>
      <c r="M76" s="25" t="s">
        <v>810</v>
      </c>
      <c r="N76" s="25"/>
      <c r="O76" s="25" t="s">
        <v>513</v>
      </c>
      <c r="P76" s="25"/>
      <c r="Q76" s="25"/>
      <c r="R76" s="25"/>
      <c r="S76" s="29" t="s">
        <v>851</v>
      </c>
      <c r="T76" s="25"/>
      <c r="U76" s="25"/>
      <c r="V76" s="25"/>
      <c r="W76" s="25"/>
      <c r="X76" s="25" t="s">
        <v>852</v>
      </c>
      <c r="Y76" s="27" t="s">
        <v>58</v>
      </c>
      <c r="Z76" s="26" t="s">
        <v>853</v>
      </c>
      <c r="AA76" s="26" t="s">
        <v>408</v>
      </c>
      <c r="AB76" s="26" t="s">
        <v>1315</v>
      </c>
      <c r="AC76" s="26" t="s">
        <v>728</v>
      </c>
      <c r="AD76" s="26" t="s">
        <v>827</v>
      </c>
      <c r="AE76" s="26" t="s">
        <v>854</v>
      </c>
      <c r="AF76" s="26" t="s">
        <v>855</v>
      </c>
      <c r="AG76" s="26" t="s">
        <v>66</v>
      </c>
      <c r="AH76" s="26">
        <v>0</v>
      </c>
      <c r="AI76" s="26"/>
      <c r="AJ76" s="25"/>
      <c r="AK76">
        <f t="shared" si="12"/>
        <v>1</v>
      </c>
      <c r="AL76">
        <f t="shared" si="9"/>
        <v>0</v>
      </c>
      <c r="AM76">
        <f t="shared" si="10"/>
        <v>0</v>
      </c>
      <c r="AN76">
        <f t="shared" si="11"/>
        <v>1</v>
      </c>
      <c r="FV76">
        <v>2017</v>
      </c>
      <c r="FW76" s="35" cm="1">
        <f t="array" ref="FW76">SUMPRODUCT((Y$2:Y$1000="PS")*(F$2:F$1000=FV76)*ISNUMBER(SEARCH("minimization",LOWER(Z$2:Z$1000)))*ISNUMBER(SEARCH("search-based",LOWER(AA$2:AA$1000))))</f>
        <v>0</v>
      </c>
      <c r="FX76" s="35" cm="1">
        <f t="array" ref="FX76">SUMPRODUCT((Y$2:Y$1000="PS")*(F$2:F$1000=FV76)*ISNUMBER(SEARCH("minimization",LOWER(Z$2:Z$1000)))*(NOT(ISNUMBER(SEARCH("search-based",LOWER(AA$2:AA$1000))))))</f>
        <v>0</v>
      </c>
    </row>
    <row r="77" spans="1:180" ht="140.4">
      <c r="A77" s="24" t="s">
        <v>856</v>
      </c>
      <c r="B77" s="25" t="s">
        <v>791</v>
      </c>
      <c r="C77" s="26" t="s">
        <v>857</v>
      </c>
      <c r="D77" s="26"/>
      <c r="E77" s="26" t="s">
        <v>858</v>
      </c>
      <c r="F77" s="25">
        <v>2025</v>
      </c>
      <c r="G77" s="27">
        <v>160</v>
      </c>
      <c r="H77" s="27"/>
      <c r="I77" s="27" t="s">
        <v>859</v>
      </c>
      <c r="J77" s="25" t="s">
        <v>860</v>
      </c>
      <c r="K77" s="25" t="s">
        <v>861</v>
      </c>
      <c r="L77" s="29" t="s">
        <v>862</v>
      </c>
      <c r="M77" s="25" t="s">
        <v>863</v>
      </c>
      <c r="N77" s="25"/>
      <c r="O77" s="25" t="s">
        <v>864</v>
      </c>
      <c r="P77" s="25"/>
      <c r="Q77" s="25"/>
      <c r="R77" s="25"/>
      <c r="S77" s="29" t="s">
        <v>865</v>
      </c>
      <c r="T77" s="25"/>
      <c r="U77" s="25"/>
      <c r="V77" s="25"/>
      <c r="W77" s="25"/>
      <c r="X77" s="25" t="s">
        <v>866</v>
      </c>
      <c r="Y77" s="27" t="s">
        <v>58</v>
      </c>
      <c r="Z77" s="26" t="s">
        <v>867</v>
      </c>
      <c r="AA77" s="26" t="s">
        <v>1367</v>
      </c>
      <c r="AB77" s="26" t="s">
        <v>1371</v>
      </c>
      <c r="AC77" s="26" t="s">
        <v>728</v>
      </c>
      <c r="AD77" s="26" t="s">
        <v>827</v>
      </c>
      <c r="AE77" s="26" t="s">
        <v>869</v>
      </c>
      <c r="AF77" s="26" t="s">
        <v>870</v>
      </c>
      <c r="AG77" s="26" t="s">
        <v>871</v>
      </c>
      <c r="AH77" s="26">
        <v>0.5</v>
      </c>
      <c r="AI77" s="26"/>
      <c r="AJ77" s="25"/>
      <c r="AK77">
        <f t="shared" si="12"/>
        <v>1</v>
      </c>
      <c r="AL77">
        <f t="shared" si="9"/>
        <v>0</v>
      </c>
      <c r="AM77">
        <f t="shared" si="10"/>
        <v>1</v>
      </c>
      <c r="AN77">
        <f t="shared" si="11"/>
        <v>0</v>
      </c>
      <c r="FV77">
        <v>2018</v>
      </c>
      <c r="FW77" s="35" cm="1">
        <f t="array" ref="FW77">SUMPRODUCT((Y$2:Y$1000="PS")*(F$2:F$1000=FV77)*ISNUMBER(SEARCH("minimization",LOWER(Z$2:Z$1000)))*ISNUMBER(SEARCH("search-based",LOWER(AA$2:AA$1000))))</f>
        <v>0</v>
      </c>
      <c r="FX77" s="35" cm="1">
        <f t="array" ref="FX77">SUMPRODUCT((Y$2:Y$1000="PS")*(F$2:F$1000=FV77)*ISNUMBER(SEARCH("minimization",LOWER(Z$2:Z$1000)))*(NOT(ISNUMBER(SEARCH("search-based",LOWER(AA$2:AA$1000))))))</f>
        <v>0</v>
      </c>
    </row>
    <row r="78" spans="1:180" ht="124.8">
      <c r="A78" s="24" t="s">
        <v>872</v>
      </c>
      <c r="B78" s="25" t="s">
        <v>791</v>
      </c>
      <c r="C78" s="26" t="s">
        <v>873</v>
      </c>
      <c r="D78" s="26"/>
      <c r="E78" s="26" t="s">
        <v>874</v>
      </c>
      <c r="F78" s="25">
        <v>2020</v>
      </c>
      <c r="G78" s="27">
        <v>169</v>
      </c>
      <c r="H78" s="27"/>
      <c r="I78" s="27" t="s">
        <v>875</v>
      </c>
      <c r="J78" s="25" t="s">
        <v>876</v>
      </c>
      <c r="K78" s="25" t="s">
        <v>877</v>
      </c>
      <c r="L78" s="29" t="s">
        <v>878</v>
      </c>
      <c r="M78" s="25" t="s">
        <v>810</v>
      </c>
      <c r="N78" s="25"/>
      <c r="O78" s="25" t="s">
        <v>513</v>
      </c>
      <c r="P78" s="25"/>
      <c r="Q78" s="25"/>
      <c r="R78" s="25"/>
      <c r="S78" s="29" t="s">
        <v>879</v>
      </c>
      <c r="T78" s="25"/>
      <c r="U78" s="25"/>
      <c r="V78" s="25"/>
      <c r="W78" s="25"/>
      <c r="X78" s="25" t="s">
        <v>880</v>
      </c>
      <c r="Y78" s="27" t="s">
        <v>58</v>
      </c>
      <c r="Z78" s="26" t="s">
        <v>713</v>
      </c>
      <c r="AA78" s="26" t="s">
        <v>408</v>
      </c>
      <c r="AB78" s="26" t="s">
        <v>1315</v>
      </c>
      <c r="AC78" s="26" t="s">
        <v>728</v>
      </c>
      <c r="AD78" s="26" t="s">
        <v>881</v>
      </c>
      <c r="AE78" s="26" t="s">
        <v>882</v>
      </c>
      <c r="AF78" s="26" t="s">
        <v>763</v>
      </c>
      <c r="AG78" s="26" t="s">
        <v>883</v>
      </c>
      <c r="AH78" s="26">
        <v>1</v>
      </c>
      <c r="AI78" s="26"/>
      <c r="AJ78" s="25"/>
      <c r="AK78">
        <f t="shared" si="12"/>
        <v>1</v>
      </c>
      <c r="AL78">
        <f t="shared" si="9"/>
        <v>0</v>
      </c>
      <c r="AM78">
        <f t="shared" si="10"/>
        <v>0</v>
      </c>
      <c r="AN78">
        <f t="shared" si="11"/>
        <v>1</v>
      </c>
      <c r="FV78">
        <v>2019</v>
      </c>
      <c r="FW78" s="35" cm="1">
        <f t="array" ref="FW78">SUMPRODUCT((Y$2:Y$1000="PS")*(F$2:F$1000=FV78)*ISNUMBER(SEARCH("minimization",LOWER(Z$2:Z$1000)))*ISNUMBER(SEARCH("search-based",LOWER(AA$2:AA$1000))))</f>
        <v>0</v>
      </c>
      <c r="FX78" s="35" cm="1">
        <f t="array" ref="FX78">SUMPRODUCT((Y$2:Y$1000="PS")*(F$2:F$1000=FV78)*ISNUMBER(SEARCH("minimization",LOWER(Z$2:Z$1000)))*(NOT(ISNUMBER(SEARCH("search-based",LOWER(AA$2:AA$1000))))))</f>
        <v>0</v>
      </c>
    </row>
    <row r="79" spans="1:180" ht="202.8">
      <c r="A79" s="24" t="s">
        <v>884</v>
      </c>
      <c r="B79" s="25" t="s">
        <v>791</v>
      </c>
      <c r="C79" s="26" t="s">
        <v>885</v>
      </c>
      <c r="D79" s="26"/>
      <c r="E79" s="26" t="s">
        <v>886</v>
      </c>
      <c r="F79" s="25">
        <v>2022</v>
      </c>
      <c r="G79" s="27">
        <v>299</v>
      </c>
      <c r="H79" s="27">
        <v>1</v>
      </c>
      <c r="I79" s="27" t="s">
        <v>887</v>
      </c>
      <c r="J79" s="25" t="s">
        <v>888</v>
      </c>
      <c r="K79" s="25" t="s">
        <v>889</v>
      </c>
      <c r="L79" s="29" t="s">
        <v>890</v>
      </c>
      <c r="M79" s="25" t="s">
        <v>891</v>
      </c>
      <c r="N79" s="25"/>
      <c r="O79" s="25" t="s">
        <v>892</v>
      </c>
      <c r="P79" s="25"/>
      <c r="Q79" s="25"/>
      <c r="R79" s="25"/>
      <c r="S79" s="29" t="s">
        <v>893</v>
      </c>
      <c r="T79" s="25"/>
      <c r="U79" s="25"/>
      <c r="V79" s="25"/>
      <c r="W79" s="25"/>
      <c r="X79" s="25" t="s">
        <v>894</v>
      </c>
      <c r="Y79" s="27" t="s">
        <v>58</v>
      </c>
      <c r="Z79" s="26" t="s">
        <v>1051</v>
      </c>
      <c r="AA79" s="26" t="s">
        <v>1392</v>
      </c>
      <c r="AB79" s="26"/>
      <c r="AC79" s="26"/>
      <c r="AD79" s="26"/>
      <c r="AE79" s="26"/>
      <c r="AF79" s="26"/>
      <c r="AG79" s="26"/>
      <c r="AH79" s="26"/>
      <c r="AI79" s="26" t="s">
        <v>751</v>
      </c>
      <c r="AJ79" s="25"/>
      <c r="AK79">
        <f t="shared" si="12"/>
        <v>1</v>
      </c>
      <c r="AL79">
        <f t="shared" si="9"/>
        <v>0</v>
      </c>
      <c r="AM79">
        <f t="shared" si="10"/>
        <v>0</v>
      </c>
      <c r="AN79">
        <f t="shared" si="11"/>
        <v>1</v>
      </c>
      <c r="FV79">
        <v>2020</v>
      </c>
      <c r="FW79" s="35" cm="1">
        <f t="array" ref="FW79">SUMPRODUCT((Y$2:Y$1000="PS")*(F$2:F$1000=FV79)*ISNUMBER(SEARCH("minimization",LOWER(Z$2:Z$1000)))*ISNUMBER(SEARCH("search-based",LOWER(AA$2:AA$1000))))</f>
        <v>0</v>
      </c>
      <c r="FX79" s="35" cm="1">
        <f t="array" ref="FX79">SUMPRODUCT((Y$2:Y$1000="PS")*(F$2:F$1000=FV79)*ISNUMBER(SEARCH("minimization",LOWER(Z$2:Z$1000)))*(NOT(ISNUMBER(SEARCH("search-based",LOWER(AA$2:AA$1000))))))</f>
        <v>0</v>
      </c>
    </row>
    <row r="80" spans="1:180" ht="140.4">
      <c r="A80" s="24" t="s">
        <v>895</v>
      </c>
      <c r="B80" s="25" t="s">
        <v>791</v>
      </c>
      <c r="C80" s="26" t="s">
        <v>896</v>
      </c>
      <c r="D80" s="26"/>
      <c r="E80" s="26" t="s">
        <v>897</v>
      </c>
      <c r="F80" s="25">
        <v>2023</v>
      </c>
      <c r="G80" s="27">
        <v>205</v>
      </c>
      <c r="H80" s="27"/>
      <c r="I80" s="27" t="s">
        <v>898</v>
      </c>
      <c r="J80" s="25" t="s">
        <v>899</v>
      </c>
      <c r="K80" s="25" t="s">
        <v>900</v>
      </c>
      <c r="L80" s="29" t="s">
        <v>901</v>
      </c>
      <c r="M80" s="25" t="s">
        <v>810</v>
      </c>
      <c r="N80" s="25"/>
      <c r="O80" s="25" t="s">
        <v>513</v>
      </c>
      <c r="P80" s="25"/>
      <c r="Q80" s="25"/>
      <c r="R80" s="25"/>
      <c r="S80" s="29" t="s">
        <v>902</v>
      </c>
      <c r="T80" s="25"/>
      <c r="U80" s="25"/>
      <c r="V80" s="25"/>
      <c r="W80" s="25"/>
      <c r="X80" s="25" t="s">
        <v>903</v>
      </c>
      <c r="Y80" s="27" t="s">
        <v>58</v>
      </c>
      <c r="Z80" s="26" t="s">
        <v>904</v>
      </c>
      <c r="AA80" s="26" t="s">
        <v>1368</v>
      </c>
      <c r="AB80" s="26" t="s">
        <v>1376</v>
      </c>
      <c r="AC80" s="26" t="s">
        <v>813</v>
      </c>
      <c r="AD80" s="26" t="s">
        <v>905</v>
      </c>
      <c r="AE80" s="26" t="s">
        <v>906</v>
      </c>
      <c r="AF80" s="26" t="s">
        <v>907</v>
      </c>
      <c r="AG80" s="26" t="s">
        <v>908</v>
      </c>
      <c r="AH80" s="26">
        <v>1</v>
      </c>
      <c r="AI80" s="26"/>
      <c r="AJ80" s="25"/>
      <c r="AK80">
        <f t="shared" si="12"/>
        <v>1</v>
      </c>
      <c r="AL80">
        <f t="shared" si="9"/>
        <v>0</v>
      </c>
      <c r="AM80">
        <f t="shared" si="10"/>
        <v>1</v>
      </c>
      <c r="AN80">
        <f t="shared" si="11"/>
        <v>0</v>
      </c>
      <c r="FV80">
        <v>2021</v>
      </c>
      <c r="FW80" s="35" cm="1">
        <f t="array" ref="FW80">SUMPRODUCT((Y$2:Y$1000="PS")*(F$2:F$1000=FV80)*ISNUMBER(SEARCH("minimization",LOWER(Z$2:Z$1000)))*ISNUMBER(SEARCH("search-based",LOWER(AA$2:AA$1000))))</f>
        <v>0</v>
      </c>
      <c r="FX80" s="35" cm="1">
        <f t="array" ref="FX80">SUMPRODUCT((Y$2:Y$1000="PS")*(F$2:F$1000=FV80)*ISNUMBER(SEARCH("minimization",LOWER(Z$2:Z$1000)))*(NOT(ISNUMBER(SEARCH("search-based",LOWER(AA$2:AA$1000))))))</f>
        <v>0</v>
      </c>
    </row>
    <row r="81" spans="1:180" ht="156">
      <c r="A81" s="24" t="s">
        <v>909</v>
      </c>
      <c r="B81" s="25" t="s">
        <v>791</v>
      </c>
      <c r="C81" s="26" t="s">
        <v>910</v>
      </c>
      <c r="D81" s="26"/>
      <c r="E81" s="26" t="s">
        <v>911</v>
      </c>
      <c r="F81" s="25">
        <v>2022</v>
      </c>
      <c r="G81" s="27">
        <v>192</v>
      </c>
      <c r="H81" s="27"/>
      <c r="I81" s="27" t="s">
        <v>912</v>
      </c>
      <c r="J81" s="25" t="s">
        <v>913</v>
      </c>
      <c r="K81" s="25" t="s">
        <v>914</v>
      </c>
      <c r="L81" s="29" t="s">
        <v>915</v>
      </c>
      <c r="M81" s="25" t="s">
        <v>810</v>
      </c>
      <c r="N81" s="25"/>
      <c r="O81" s="25" t="s">
        <v>513</v>
      </c>
      <c r="P81" s="25"/>
      <c r="Q81" s="25"/>
      <c r="R81" s="25"/>
      <c r="S81" s="29" t="s">
        <v>916</v>
      </c>
      <c r="T81" s="25"/>
      <c r="U81" s="25"/>
      <c r="V81" s="25"/>
      <c r="W81" s="25"/>
      <c r="X81" s="25" t="s">
        <v>917</v>
      </c>
      <c r="Y81" s="27" t="s">
        <v>58</v>
      </c>
      <c r="Z81" s="26" t="s">
        <v>918</v>
      </c>
      <c r="AA81" s="26" t="s">
        <v>408</v>
      </c>
      <c r="AB81" s="26" t="s">
        <v>1377</v>
      </c>
      <c r="AC81" s="26" t="s">
        <v>728</v>
      </c>
      <c r="AD81" s="26" t="s">
        <v>919</v>
      </c>
      <c r="AE81" s="26" t="s">
        <v>920</v>
      </c>
      <c r="AF81" s="26" t="s">
        <v>921</v>
      </c>
      <c r="AG81" s="26" t="s">
        <v>66</v>
      </c>
      <c r="AH81" s="26">
        <v>1</v>
      </c>
      <c r="AI81" s="26"/>
      <c r="AJ81" s="25"/>
      <c r="AK81">
        <f t="shared" si="12"/>
        <v>1</v>
      </c>
      <c r="AL81">
        <f t="shared" si="9"/>
        <v>0</v>
      </c>
      <c r="AM81">
        <f t="shared" si="10"/>
        <v>0</v>
      </c>
      <c r="AN81">
        <f t="shared" si="11"/>
        <v>1</v>
      </c>
      <c r="FV81">
        <v>2022</v>
      </c>
      <c r="FW81" s="35" cm="1">
        <f t="array" ref="FW81">SUMPRODUCT((Y$2:Y$1000="PS")*(F$2:F$1000=FV81)*ISNUMBER(SEARCH("minimization",LOWER(Z$2:Z$1000)))*ISNUMBER(SEARCH("search-based",LOWER(AA$2:AA$1000))))</f>
        <v>0</v>
      </c>
      <c r="FX81" s="35" cm="1">
        <f t="array" ref="FX81">SUMPRODUCT((Y$2:Y$1000="PS")*(F$2:F$1000=FV81)*ISNUMBER(SEARCH("minimization",LOWER(Z$2:Z$1000)))*(NOT(ISNUMBER(SEARCH("search-based",LOWER(AA$2:AA$1000))))))</f>
        <v>1</v>
      </c>
    </row>
    <row r="82" spans="1:180" ht="124.8">
      <c r="A82" s="24"/>
      <c r="B82" s="25"/>
      <c r="C82" s="26" t="s">
        <v>922</v>
      </c>
      <c r="D82" s="26" t="s">
        <v>923</v>
      </c>
      <c r="E82" s="26" t="s">
        <v>924</v>
      </c>
      <c r="F82" s="25">
        <v>2018</v>
      </c>
      <c r="G82" s="27"/>
      <c r="H82" s="27"/>
      <c r="I82" s="27"/>
      <c r="J82" s="25" t="s">
        <v>925</v>
      </c>
      <c r="K82" s="25"/>
      <c r="L82" s="25"/>
      <c r="M82" s="25"/>
      <c r="N82" s="25"/>
      <c r="O82" s="25"/>
      <c r="P82" s="25"/>
      <c r="Q82" s="25"/>
      <c r="R82" s="25"/>
      <c r="S82" s="25"/>
      <c r="T82" s="25"/>
      <c r="U82" s="25"/>
      <c r="V82" s="25"/>
      <c r="W82" s="25"/>
      <c r="X82" s="25"/>
      <c r="Y82" s="27" t="s">
        <v>77</v>
      </c>
      <c r="Z82" s="26" t="s">
        <v>926</v>
      </c>
      <c r="AA82" s="43" t="s">
        <v>77</v>
      </c>
      <c r="AB82" s="43"/>
      <c r="AC82" s="43"/>
      <c r="AD82" s="43"/>
      <c r="AE82" s="43"/>
      <c r="AF82" s="43"/>
      <c r="AG82" s="43"/>
      <c r="AH82" s="43"/>
      <c r="AI82" s="26"/>
      <c r="AJ82" s="25"/>
      <c r="AK82">
        <f t="shared" si="12"/>
        <v>0</v>
      </c>
      <c r="AL82">
        <f t="shared" si="9"/>
        <v>0</v>
      </c>
      <c r="AM82">
        <f t="shared" si="10"/>
        <v>0</v>
      </c>
      <c r="AN82">
        <f t="shared" si="11"/>
        <v>0</v>
      </c>
      <c r="FV82">
        <v>2023</v>
      </c>
      <c r="FW82" s="35" cm="1">
        <f t="array" ref="FW82">SUMPRODUCT((Y$2:Y$1000="PS")*(F$2:F$1000=FV82)*ISNUMBER(SEARCH("minimization",LOWER(Z$2:Z$1000)))*ISNUMBER(SEARCH("search-based",LOWER(AA$2:AA$1000))))</f>
        <v>0</v>
      </c>
      <c r="FX82" s="35" cm="1">
        <f t="array" ref="FX82">SUMPRODUCT((Y$2:Y$1000="PS")*(F$2:F$1000=FV82)*ISNUMBER(SEARCH("minimization",LOWER(Z$2:Z$1000)))*(NOT(ISNUMBER(SEARCH("search-based",LOWER(AA$2:AA$1000))))))</f>
        <v>0</v>
      </c>
    </row>
    <row r="83" spans="1:180" ht="140.4">
      <c r="A83" s="24"/>
      <c r="B83" s="25"/>
      <c r="C83" s="26" t="s">
        <v>927</v>
      </c>
      <c r="D83" s="26" t="s">
        <v>928</v>
      </c>
      <c r="E83" s="26" t="s">
        <v>929</v>
      </c>
      <c r="F83" s="25">
        <v>2017</v>
      </c>
      <c r="G83" s="27"/>
      <c r="H83" s="27"/>
      <c r="I83" s="27"/>
      <c r="J83" s="25" t="s">
        <v>930</v>
      </c>
      <c r="K83" s="25"/>
      <c r="L83" s="25"/>
      <c r="M83" s="25"/>
      <c r="N83" s="25"/>
      <c r="O83" s="25"/>
      <c r="P83" s="25"/>
      <c r="Q83" s="25"/>
      <c r="R83" s="25"/>
      <c r="S83" s="25"/>
      <c r="T83" s="25"/>
      <c r="U83" s="25"/>
      <c r="V83" s="25"/>
      <c r="W83" s="25"/>
      <c r="X83" s="25"/>
      <c r="Y83" s="27" t="s">
        <v>58</v>
      </c>
      <c r="Z83" s="26" t="s">
        <v>786</v>
      </c>
      <c r="AA83" s="26" t="s">
        <v>408</v>
      </c>
      <c r="AB83" s="26" t="s">
        <v>550</v>
      </c>
      <c r="AC83" s="26" t="s">
        <v>728</v>
      </c>
      <c r="AD83" s="26" t="s">
        <v>931</v>
      </c>
      <c r="AE83" s="26" t="s">
        <v>932</v>
      </c>
      <c r="AF83" s="26" t="s">
        <v>933</v>
      </c>
      <c r="AG83" s="26" t="s">
        <v>66</v>
      </c>
      <c r="AH83" s="26">
        <v>0</v>
      </c>
      <c r="AI83" s="26"/>
      <c r="AJ83" s="25"/>
      <c r="AK83">
        <f t="shared" si="12"/>
        <v>1</v>
      </c>
      <c r="AL83">
        <f t="shared" si="9"/>
        <v>0</v>
      </c>
      <c r="AM83">
        <f t="shared" si="10"/>
        <v>0</v>
      </c>
      <c r="AN83">
        <f t="shared" si="11"/>
        <v>1</v>
      </c>
      <c r="FV83">
        <v>2024</v>
      </c>
      <c r="FW83" s="35" cm="1">
        <f t="array" ref="FW83">SUMPRODUCT((Y$2:Y$1000="PS")*(F$2:F$1000=FV83)*ISNUMBER(SEARCH("minimization",LOWER(Z$2:Z$1000)))*ISNUMBER(SEARCH("search-based",LOWER(AA$2:AA$1000))))</f>
        <v>1</v>
      </c>
      <c r="FX83" s="35" cm="1">
        <f t="array" ref="FX83">SUMPRODUCT((Y$2:Y$1000="PS")*(F$2:F$1000=FV83)*ISNUMBER(SEARCH("minimization",LOWER(Z$2:Z$1000)))*(NOT(ISNUMBER(SEARCH("search-based",LOWER(AA$2:AA$1000))))))</f>
        <v>0</v>
      </c>
    </row>
    <row r="84" spans="1:180" ht="171.6">
      <c r="A84" s="24"/>
      <c r="B84" s="25"/>
      <c r="C84" s="26" t="s">
        <v>934</v>
      </c>
      <c r="D84" s="26" t="s">
        <v>935</v>
      </c>
      <c r="E84" s="26" t="s">
        <v>936</v>
      </c>
      <c r="F84" s="25">
        <v>2019</v>
      </c>
      <c r="G84" s="27"/>
      <c r="H84" s="27"/>
      <c r="I84" s="27"/>
      <c r="J84" s="25" t="s">
        <v>937</v>
      </c>
      <c r="K84" s="25"/>
      <c r="L84" s="25"/>
      <c r="M84" s="25"/>
      <c r="N84" s="25"/>
      <c r="O84" s="25"/>
      <c r="P84" s="25"/>
      <c r="Q84" s="25"/>
      <c r="R84" s="25"/>
      <c r="S84" s="25"/>
      <c r="T84" s="25"/>
      <c r="U84" s="25"/>
      <c r="V84" s="25"/>
      <c r="W84" s="25"/>
      <c r="X84" s="25"/>
      <c r="Y84" s="27" t="s">
        <v>58</v>
      </c>
      <c r="Z84" s="26" t="s">
        <v>938</v>
      </c>
      <c r="AA84" s="26" t="s">
        <v>408</v>
      </c>
      <c r="AB84" s="26" t="s">
        <v>1315</v>
      </c>
      <c r="AC84" s="26" t="s">
        <v>813</v>
      </c>
      <c r="AD84" s="26" t="s">
        <v>939</v>
      </c>
      <c r="AE84" s="26" t="s">
        <v>940</v>
      </c>
      <c r="AF84" s="26" t="s">
        <v>941</v>
      </c>
      <c r="AG84" s="26" t="s">
        <v>66</v>
      </c>
      <c r="AH84" s="26">
        <v>0</v>
      </c>
      <c r="AI84" s="26"/>
      <c r="AJ84" s="25"/>
      <c r="AK84">
        <f t="shared" si="12"/>
        <v>1</v>
      </c>
      <c r="AL84">
        <f t="shared" si="9"/>
        <v>0</v>
      </c>
      <c r="AM84">
        <f t="shared" si="10"/>
        <v>0</v>
      </c>
      <c r="AN84">
        <f t="shared" si="11"/>
        <v>1</v>
      </c>
      <c r="FV84">
        <v>2025</v>
      </c>
      <c r="FW84" s="35" cm="1">
        <f t="array" ref="FW84">SUMPRODUCT((Y$2:Y$1000="PS")*(F$2:F$1000=FV84)*ISNUMBER(SEARCH("minimization",LOWER(Z$2:Z$1000)))*ISNUMBER(SEARCH("search-based",LOWER(AA$2:AA$1000))))</f>
        <v>0</v>
      </c>
      <c r="FX84" s="35" cm="1">
        <f t="array" ref="FX84">SUMPRODUCT((Y$2:Y$1000="PS")*(F$2:F$1000=FV84)*ISNUMBER(SEARCH("minimization",LOWER(Z$2:Z$1000)))*(NOT(ISNUMBER(SEARCH("search-based",LOWER(AA$2:AA$1000))))))</f>
        <v>0</v>
      </c>
    </row>
    <row r="85" spans="1:180" ht="124.8">
      <c r="A85" s="24"/>
      <c r="B85" s="25"/>
      <c r="C85" s="26" t="s">
        <v>942</v>
      </c>
      <c r="D85" s="26" t="s">
        <v>943</v>
      </c>
      <c r="E85" s="26" t="s">
        <v>944</v>
      </c>
      <c r="F85" s="25">
        <v>2019</v>
      </c>
      <c r="G85" s="27"/>
      <c r="H85" s="27"/>
      <c r="I85" s="27"/>
      <c r="J85" s="25" t="s">
        <v>945</v>
      </c>
      <c r="K85" s="25"/>
      <c r="L85" s="25"/>
      <c r="M85" s="25"/>
      <c r="N85" s="25"/>
      <c r="O85" s="25"/>
      <c r="P85" s="25"/>
      <c r="Q85" s="25"/>
      <c r="R85" s="25"/>
      <c r="S85" s="25"/>
      <c r="T85" s="25"/>
      <c r="U85" s="25"/>
      <c r="V85" s="25"/>
      <c r="W85" s="25"/>
      <c r="X85" s="25"/>
      <c r="Y85" s="27" t="s">
        <v>58</v>
      </c>
      <c r="Z85" s="26" t="s">
        <v>727</v>
      </c>
      <c r="AA85" s="26" t="s">
        <v>408</v>
      </c>
      <c r="AB85" s="26" t="s">
        <v>1315</v>
      </c>
      <c r="AC85" s="26" t="s">
        <v>946</v>
      </c>
      <c r="AD85" s="26" t="s">
        <v>947</v>
      </c>
      <c r="AE85" s="26" t="s">
        <v>940</v>
      </c>
      <c r="AF85" s="26" t="s">
        <v>948</v>
      </c>
      <c r="AG85" s="26" t="s">
        <v>66</v>
      </c>
      <c r="AH85" s="26">
        <v>1</v>
      </c>
      <c r="AI85" s="26" t="s">
        <v>949</v>
      </c>
      <c r="AJ85" s="25"/>
      <c r="AK85">
        <f t="shared" si="12"/>
        <v>1</v>
      </c>
      <c r="AL85">
        <f t="shared" si="9"/>
        <v>0</v>
      </c>
      <c r="AM85">
        <f t="shared" si="10"/>
        <v>0</v>
      </c>
      <c r="AN85">
        <f t="shared" si="11"/>
        <v>1</v>
      </c>
    </row>
    <row r="86" spans="1:180" ht="78">
      <c r="A86" s="24"/>
      <c r="B86" s="25"/>
      <c r="C86" s="26" t="s">
        <v>950</v>
      </c>
      <c r="D86" s="26" t="s">
        <v>951</v>
      </c>
      <c r="E86" s="26" t="s">
        <v>952</v>
      </c>
      <c r="F86" s="25">
        <v>2016</v>
      </c>
      <c r="G86" s="27"/>
      <c r="H86" s="27"/>
      <c r="I86" s="27"/>
      <c r="J86" s="25" t="s">
        <v>953</v>
      </c>
      <c r="K86" s="25"/>
      <c r="L86" s="25"/>
      <c r="M86" s="25"/>
      <c r="N86" s="25"/>
      <c r="O86" s="25"/>
      <c r="P86" s="25"/>
      <c r="Q86" s="25"/>
      <c r="R86" s="25"/>
      <c r="S86" s="25"/>
      <c r="T86" s="25"/>
      <c r="U86" s="25"/>
      <c r="V86" s="25"/>
      <c r="W86" s="25"/>
      <c r="X86" s="25"/>
      <c r="Y86" s="27" t="s">
        <v>44</v>
      </c>
      <c r="Z86" s="26" t="s">
        <v>954</v>
      </c>
      <c r="AA86" s="43" t="s">
        <v>44</v>
      </c>
      <c r="AB86" s="43"/>
      <c r="AC86" s="43"/>
      <c r="AD86" s="43"/>
      <c r="AE86" s="43"/>
      <c r="AF86" s="43"/>
      <c r="AG86" s="43"/>
      <c r="AH86" s="43"/>
      <c r="AI86" s="26"/>
      <c r="AJ86" s="25"/>
      <c r="AK86">
        <f t="shared" si="12"/>
        <v>0</v>
      </c>
      <c r="AL86">
        <f t="shared" si="9"/>
        <v>0</v>
      </c>
      <c r="AM86">
        <f t="shared" si="10"/>
        <v>0</v>
      </c>
      <c r="AN86">
        <f t="shared" si="11"/>
        <v>0</v>
      </c>
    </row>
    <row r="87" spans="1:180" ht="124.8">
      <c r="A87" s="24"/>
      <c r="B87" s="25"/>
      <c r="C87" s="26" t="s">
        <v>955</v>
      </c>
      <c r="D87" s="26" t="s">
        <v>956</v>
      </c>
      <c r="E87" s="26" t="s">
        <v>957</v>
      </c>
      <c r="F87" s="25">
        <v>2018</v>
      </c>
      <c r="G87" s="27"/>
      <c r="H87" s="27"/>
      <c r="I87" s="27"/>
      <c r="J87" s="25" t="s">
        <v>795</v>
      </c>
      <c r="K87" s="25"/>
      <c r="L87" s="25"/>
      <c r="M87" s="25"/>
      <c r="N87" s="25"/>
      <c r="O87" s="25"/>
      <c r="P87" s="25"/>
      <c r="Q87" s="25"/>
      <c r="R87" s="25"/>
      <c r="S87" s="25"/>
      <c r="T87" s="25"/>
      <c r="U87" s="25"/>
      <c r="V87" s="25"/>
      <c r="W87" s="25"/>
      <c r="X87" s="25"/>
      <c r="Y87" s="27" t="s">
        <v>44</v>
      </c>
      <c r="Z87" s="26" t="s">
        <v>802</v>
      </c>
      <c r="AA87" s="43" t="s">
        <v>44</v>
      </c>
      <c r="AB87" s="43"/>
      <c r="AC87" s="43"/>
      <c r="AD87" s="43"/>
      <c r="AE87" s="43"/>
      <c r="AF87" s="43"/>
      <c r="AG87" s="43"/>
      <c r="AH87" s="43"/>
      <c r="AI87" s="26"/>
      <c r="AJ87" s="25"/>
      <c r="AK87">
        <f t="shared" si="12"/>
        <v>0</v>
      </c>
      <c r="AL87">
        <f t="shared" si="9"/>
        <v>0</v>
      </c>
      <c r="AM87">
        <f t="shared" si="10"/>
        <v>0</v>
      </c>
      <c r="AN87">
        <f t="shared" si="11"/>
        <v>0</v>
      </c>
    </row>
    <row r="88" spans="1:180" ht="109.2">
      <c r="A88" s="24"/>
      <c r="B88" s="25"/>
      <c r="C88" s="26" t="s">
        <v>958</v>
      </c>
      <c r="D88" s="26" t="s">
        <v>959</v>
      </c>
      <c r="E88" s="26" t="s">
        <v>960</v>
      </c>
      <c r="F88" s="25">
        <v>2018</v>
      </c>
      <c r="G88" s="27"/>
      <c r="H88" s="27"/>
      <c r="I88" s="27"/>
      <c r="J88" s="25" t="s">
        <v>961</v>
      </c>
      <c r="K88" s="25"/>
      <c r="L88" s="25"/>
      <c r="M88" s="25"/>
      <c r="N88" s="25"/>
      <c r="O88" s="25"/>
      <c r="P88" s="25"/>
      <c r="Q88" s="25"/>
      <c r="R88" s="25"/>
      <c r="S88" s="25"/>
      <c r="T88" s="25"/>
      <c r="U88" s="25"/>
      <c r="V88" s="25"/>
      <c r="W88" s="25"/>
      <c r="X88" s="25"/>
      <c r="Y88" s="27" t="s">
        <v>77</v>
      </c>
      <c r="Z88" s="26" t="s">
        <v>926</v>
      </c>
      <c r="AA88" s="43" t="s">
        <v>77</v>
      </c>
      <c r="AB88" s="43"/>
      <c r="AC88" s="43"/>
      <c r="AD88" s="43"/>
      <c r="AE88" s="43"/>
      <c r="AF88" s="43"/>
      <c r="AG88" s="43"/>
      <c r="AH88" s="43"/>
      <c r="AI88" s="26"/>
      <c r="AJ88" s="25"/>
      <c r="AK88">
        <f t="shared" si="12"/>
        <v>0</v>
      </c>
      <c r="AL88">
        <f t="shared" si="9"/>
        <v>0</v>
      </c>
      <c r="AM88">
        <f t="shared" si="10"/>
        <v>0</v>
      </c>
      <c r="AN88">
        <f t="shared" si="11"/>
        <v>0</v>
      </c>
    </row>
    <row r="89" spans="1:180" ht="109.2">
      <c r="A89" s="24"/>
      <c r="B89" s="25"/>
      <c r="C89" s="26" t="s">
        <v>962</v>
      </c>
      <c r="D89" s="26" t="s">
        <v>963</v>
      </c>
      <c r="E89" s="26" t="s">
        <v>964</v>
      </c>
      <c r="F89" s="25">
        <v>2019</v>
      </c>
      <c r="G89" s="27"/>
      <c r="H89" s="27"/>
      <c r="I89" s="27"/>
      <c r="J89" s="25" t="s">
        <v>965</v>
      </c>
      <c r="K89" s="25"/>
      <c r="L89" s="25"/>
      <c r="M89" s="25"/>
      <c r="N89" s="25"/>
      <c r="O89" s="25"/>
      <c r="P89" s="25"/>
      <c r="Q89" s="25"/>
      <c r="R89" s="25"/>
      <c r="S89" s="25"/>
      <c r="T89" s="25"/>
      <c r="U89" s="25"/>
      <c r="V89" s="25"/>
      <c r="W89" s="25"/>
      <c r="X89" s="25"/>
      <c r="Y89" s="27" t="s">
        <v>58</v>
      </c>
      <c r="Z89" s="26" t="s">
        <v>727</v>
      </c>
      <c r="AA89" s="26" t="s">
        <v>966</v>
      </c>
      <c r="AB89" s="26" t="s">
        <v>1315</v>
      </c>
      <c r="AC89" s="26" t="s">
        <v>728</v>
      </c>
      <c r="AD89" s="26" t="s">
        <v>967</v>
      </c>
      <c r="AE89" s="26" t="s">
        <v>968</v>
      </c>
      <c r="AF89" s="26" t="s">
        <v>969</v>
      </c>
      <c r="AG89" s="26" t="s">
        <v>970</v>
      </c>
      <c r="AH89" s="26">
        <v>0.5</v>
      </c>
      <c r="AI89" s="26" t="s">
        <v>971</v>
      </c>
      <c r="AJ89" s="25"/>
      <c r="AK89">
        <f t="shared" si="12"/>
        <v>1</v>
      </c>
      <c r="AL89">
        <f t="shared" si="9"/>
        <v>0</v>
      </c>
      <c r="AM89">
        <f t="shared" si="10"/>
        <v>0</v>
      </c>
      <c r="AN89">
        <f t="shared" si="11"/>
        <v>1</v>
      </c>
    </row>
    <row r="90" spans="1:180" ht="409.6">
      <c r="A90" s="24"/>
      <c r="B90" s="25"/>
      <c r="C90" s="26" t="s">
        <v>972</v>
      </c>
      <c r="D90" s="26" t="s">
        <v>973</v>
      </c>
      <c r="E90" s="26" t="s">
        <v>974</v>
      </c>
      <c r="F90" s="25">
        <v>2019</v>
      </c>
      <c r="G90" s="27"/>
      <c r="H90" s="27"/>
      <c r="I90" s="27"/>
      <c r="J90" s="26" t="s">
        <v>975</v>
      </c>
      <c r="K90" s="25"/>
      <c r="L90" s="25"/>
      <c r="M90" s="25"/>
      <c r="N90" s="25"/>
      <c r="O90" s="25"/>
      <c r="P90" s="25"/>
      <c r="Q90" s="25"/>
      <c r="R90" s="25"/>
      <c r="S90" s="25"/>
      <c r="T90" s="25"/>
      <c r="U90" s="25"/>
      <c r="V90" s="25"/>
      <c r="W90" s="25"/>
      <c r="X90" s="25"/>
      <c r="Y90" s="27" t="s">
        <v>58</v>
      </c>
      <c r="Z90" s="26" t="s">
        <v>976</v>
      </c>
      <c r="AA90" s="26" t="s">
        <v>1368</v>
      </c>
      <c r="AB90" s="26" t="s">
        <v>977</v>
      </c>
      <c r="AC90" s="26" t="s">
        <v>728</v>
      </c>
      <c r="AD90" s="26" t="s">
        <v>978</v>
      </c>
      <c r="AE90" s="26" t="s">
        <v>979</v>
      </c>
      <c r="AF90" s="26" t="s">
        <v>870</v>
      </c>
      <c r="AG90" s="26" t="s">
        <v>980</v>
      </c>
      <c r="AH90" s="26">
        <v>0</v>
      </c>
      <c r="AI90" s="26"/>
      <c r="AJ90" s="25"/>
      <c r="AK90">
        <f t="shared" si="12"/>
        <v>1</v>
      </c>
      <c r="AL90">
        <f t="shared" si="9"/>
        <v>0</v>
      </c>
      <c r="AM90">
        <f t="shared" si="10"/>
        <v>1</v>
      </c>
      <c r="AN90">
        <f t="shared" si="11"/>
        <v>1</v>
      </c>
    </row>
    <row r="91" spans="1:180" ht="124.8">
      <c r="A91" s="24"/>
      <c r="B91" s="25"/>
      <c r="C91" s="26" t="s">
        <v>981</v>
      </c>
      <c r="D91" s="26" t="s">
        <v>943</v>
      </c>
      <c r="E91" s="26" t="s">
        <v>982</v>
      </c>
      <c r="F91" s="25">
        <v>2013</v>
      </c>
      <c r="G91" s="27"/>
      <c r="H91" s="27"/>
      <c r="I91" s="27"/>
      <c r="J91" s="25" t="s">
        <v>265</v>
      </c>
      <c r="K91" s="25"/>
      <c r="L91" s="25"/>
      <c r="M91" s="25"/>
      <c r="N91" s="25"/>
      <c r="O91" s="25"/>
      <c r="P91" s="25"/>
      <c r="Q91" s="25"/>
      <c r="R91" s="25"/>
      <c r="S91" s="25"/>
      <c r="T91" s="25"/>
      <c r="U91" s="25"/>
      <c r="V91" s="25"/>
      <c r="W91" s="25"/>
      <c r="X91" s="25"/>
      <c r="Y91" s="27" t="s">
        <v>58</v>
      </c>
      <c r="Z91" s="26" t="s">
        <v>983</v>
      </c>
      <c r="AA91" s="26" t="s">
        <v>90</v>
      </c>
      <c r="AB91" s="26" t="s">
        <v>1372</v>
      </c>
      <c r="AC91" s="26" t="s">
        <v>728</v>
      </c>
      <c r="AD91" s="26" t="s">
        <v>984</v>
      </c>
      <c r="AE91" s="26" t="s">
        <v>985</v>
      </c>
      <c r="AF91" s="26" t="s">
        <v>986</v>
      </c>
      <c r="AG91" s="26" t="s">
        <v>66</v>
      </c>
      <c r="AH91" s="26">
        <v>0</v>
      </c>
      <c r="AI91" s="26"/>
      <c r="AJ91" s="25"/>
      <c r="AK91">
        <f t="shared" si="12"/>
        <v>1</v>
      </c>
      <c r="AL91">
        <f t="shared" si="9"/>
        <v>0</v>
      </c>
      <c r="AM91">
        <f t="shared" si="10"/>
        <v>0</v>
      </c>
      <c r="AN91">
        <f t="shared" si="11"/>
        <v>1</v>
      </c>
    </row>
    <row r="92" spans="1:180" ht="327.60000000000002">
      <c r="A92" s="24"/>
      <c r="B92" s="25"/>
      <c r="C92" s="26" t="s">
        <v>987</v>
      </c>
      <c r="D92" s="26" t="s">
        <v>478</v>
      </c>
      <c r="E92" s="26" t="s">
        <v>988</v>
      </c>
      <c r="F92" s="25">
        <v>2016</v>
      </c>
      <c r="G92" s="27"/>
      <c r="H92" s="27"/>
      <c r="I92" s="27"/>
      <c r="J92" s="25" t="s">
        <v>989</v>
      </c>
      <c r="K92" s="25"/>
      <c r="L92" s="25"/>
      <c r="M92" s="25"/>
      <c r="N92" s="25"/>
      <c r="O92" s="25"/>
      <c r="P92" s="25"/>
      <c r="Q92" s="25"/>
      <c r="R92" s="25"/>
      <c r="S92" s="25"/>
      <c r="T92" s="25"/>
      <c r="U92" s="25"/>
      <c r="V92" s="25"/>
      <c r="W92" s="25"/>
      <c r="X92" s="25"/>
      <c r="Y92" s="27" t="s">
        <v>58</v>
      </c>
      <c r="Z92" s="26" t="s">
        <v>954</v>
      </c>
      <c r="AA92" s="26" t="s">
        <v>408</v>
      </c>
      <c r="AB92" s="26" t="s">
        <v>1315</v>
      </c>
      <c r="AC92" s="26" t="s">
        <v>728</v>
      </c>
      <c r="AD92" s="26" t="s">
        <v>990</v>
      </c>
      <c r="AE92" s="26" t="s">
        <v>991</v>
      </c>
      <c r="AF92" s="26" t="s">
        <v>992</v>
      </c>
      <c r="AG92" s="26" t="s">
        <v>993</v>
      </c>
      <c r="AH92" s="26">
        <v>0</v>
      </c>
      <c r="AI92" s="26"/>
      <c r="AJ92" s="25"/>
      <c r="AK92">
        <f t="shared" si="12"/>
        <v>1</v>
      </c>
      <c r="AL92">
        <f t="shared" si="9"/>
        <v>0</v>
      </c>
      <c r="AM92">
        <f t="shared" si="10"/>
        <v>0</v>
      </c>
      <c r="AN92">
        <f t="shared" si="11"/>
        <v>1</v>
      </c>
    </row>
    <row r="93" spans="1:180" ht="78">
      <c r="A93" s="24"/>
      <c r="B93" s="25"/>
      <c r="C93" s="26" t="s">
        <v>994</v>
      </c>
      <c r="D93" s="26" t="s">
        <v>995</v>
      </c>
      <c r="E93" s="26" t="s">
        <v>996</v>
      </c>
      <c r="F93" s="25">
        <v>2013</v>
      </c>
      <c r="G93" s="27"/>
      <c r="H93" s="27"/>
      <c r="I93" s="27"/>
      <c r="J93" s="25" t="s">
        <v>997</v>
      </c>
      <c r="K93" s="25"/>
      <c r="L93" s="25"/>
      <c r="M93" s="25"/>
      <c r="N93" s="25"/>
      <c r="O93" s="25"/>
      <c r="P93" s="25"/>
      <c r="Q93" s="25"/>
      <c r="R93" s="25"/>
      <c r="S93" s="25"/>
      <c r="T93" s="25"/>
      <c r="U93" s="25"/>
      <c r="V93" s="25"/>
      <c r="W93" s="25"/>
      <c r="X93" s="25"/>
      <c r="Y93" s="27" t="s">
        <v>44</v>
      </c>
      <c r="Z93" s="26" t="s">
        <v>998</v>
      </c>
      <c r="AA93" s="43" t="s">
        <v>999</v>
      </c>
      <c r="AB93" s="43"/>
      <c r="AC93" s="43"/>
      <c r="AD93" s="43"/>
      <c r="AE93" s="43"/>
      <c r="AF93" s="43"/>
      <c r="AG93" s="43"/>
      <c r="AH93" s="43"/>
      <c r="AI93" s="26"/>
      <c r="AJ93" s="25"/>
      <c r="AK93">
        <f t="shared" si="12"/>
        <v>0</v>
      </c>
      <c r="AL93">
        <f t="shared" si="9"/>
        <v>0</v>
      </c>
      <c r="AM93">
        <f t="shared" si="10"/>
        <v>0</v>
      </c>
      <c r="AN93">
        <f t="shared" si="11"/>
        <v>0</v>
      </c>
    </row>
    <row r="94" spans="1:180" ht="140.4">
      <c r="A94" s="24"/>
      <c r="B94" s="25"/>
      <c r="C94" s="26" t="s">
        <v>1000</v>
      </c>
      <c r="D94" s="26" t="s">
        <v>1001</v>
      </c>
      <c r="E94" s="26" t="s">
        <v>1002</v>
      </c>
      <c r="F94" s="25">
        <v>2014</v>
      </c>
      <c r="G94" s="27"/>
      <c r="H94" s="27"/>
      <c r="I94" s="27"/>
      <c r="J94" s="25" t="s">
        <v>1003</v>
      </c>
      <c r="K94" s="25"/>
      <c r="L94" s="25"/>
      <c r="M94" s="25"/>
      <c r="N94" s="25"/>
      <c r="O94" s="25"/>
      <c r="P94" s="25"/>
      <c r="Q94" s="25"/>
      <c r="R94" s="25"/>
      <c r="S94" s="25"/>
      <c r="T94" s="25"/>
      <c r="U94" s="25"/>
      <c r="V94" s="25"/>
      <c r="W94" s="25"/>
      <c r="X94" s="25"/>
      <c r="Y94" s="27" t="s">
        <v>58</v>
      </c>
      <c r="Z94" s="26" t="s">
        <v>1004</v>
      </c>
      <c r="AA94" s="26" t="s">
        <v>129</v>
      </c>
      <c r="AB94" s="26" t="s">
        <v>1387</v>
      </c>
      <c r="AC94" s="26" t="s">
        <v>813</v>
      </c>
      <c r="AD94" s="26" t="s">
        <v>1005</v>
      </c>
      <c r="AE94" s="26" t="s">
        <v>1006</v>
      </c>
      <c r="AF94" s="26" t="s">
        <v>1007</v>
      </c>
      <c r="AG94" s="26" t="s">
        <v>1008</v>
      </c>
      <c r="AH94" s="26">
        <v>0</v>
      </c>
      <c r="AI94" s="26"/>
      <c r="AJ94" s="25"/>
      <c r="AK94">
        <f t="shared" si="12"/>
        <v>1</v>
      </c>
      <c r="AL94">
        <f t="shared" si="9"/>
        <v>0</v>
      </c>
      <c r="AM94">
        <f t="shared" si="10"/>
        <v>1</v>
      </c>
      <c r="AN94">
        <f t="shared" si="11"/>
        <v>0</v>
      </c>
    </row>
    <row r="95" spans="1:180" ht="109.2">
      <c r="A95" s="24"/>
      <c r="B95" s="25"/>
      <c r="C95" s="26" t="s">
        <v>1009</v>
      </c>
      <c r="D95" s="26" t="s">
        <v>1010</v>
      </c>
      <c r="E95" s="26" t="s">
        <v>1011</v>
      </c>
      <c r="F95" s="25">
        <v>2017</v>
      </c>
      <c r="G95" s="27"/>
      <c r="H95" s="27"/>
      <c r="I95" s="27"/>
      <c r="J95" s="25" t="s">
        <v>1012</v>
      </c>
      <c r="K95" s="25"/>
      <c r="L95" s="25"/>
      <c r="M95" s="25"/>
      <c r="N95" s="25"/>
      <c r="O95" s="25"/>
      <c r="P95" s="25"/>
      <c r="Q95" s="25"/>
      <c r="R95" s="25"/>
      <c r="S95" s="25"/>
      <c r="T95" s="25"/>
      <c r="U95" s="25"/>
      <c r="V95" s="25"/>
      <c r="W95" s="25"/>
      <c r="X95" s="25"/>
      <c r="Y95" s="27" t="s">
        <v>77</v>
      </c>
      <c r="Z95" s="26" t="s">
        <v>1013</v>
      </c>
      <c r="AA95" s="43" t="s">
        <v>77</v>
      </c>
      <c r="AB95" s="43"/>
      <c r="AC95" s="43"/>
      <c r="AD95" s="43"/>
      <c r="AE95" s="43"/>
      <c r="AF95" s="43"/>
      <c r="AG95" s="43"/>
      <c r="AH95" s="43"/>
      <c r="AI95" s="26"/>
      <c r="AJ95" s="25"/>
      <c r="AK95">
        <f t="shared" si="12"/>
        <v>0</v>
      </c>
      <c r="AL95">
        <f t="shared" si="9"/>
        <v>0</v>
      </c>
      <c r="AM95">
        <f t="shared" si="10"/>
        <v>0</v>
      </c>
      <c r="AN95">
        <f t="shared" si="11"/>
        <v>0</v>
      </c>
    </row>
    <row r="96" spans="1:180" ht="409.6">
      <c r="A96" s="2">
        <v>42</v>
      </c>
      <c r="B96" s="2"/>
      <c r="C96" s="2" t="s">
        <v>1014</v>
      </c>
      <c r="D96" s="2" t="s">
        <v>1015</v>
      </c>
      <c r="E96" s="2" t="s">
        <v>1016</v>
      </c>
      <c r="F96" s="2">
        <v>2018</v>
      </c>
      <c r="G96" s="2"/>
      <c r="H96" s="2"/>
      <c r="I96" s="2"/>
      <c r="J96" s="2" t="s">
        <v>1017</v>
      </c>
      <c r="K96" s="2"/>
      <c r="L96" s="2"/>
      <c r="M96" s="2"/>
      <c r="N96" s="2"/>
      <c r="O96" s="2"/>
      <c r="P96" s="2"/>
      <c r="Q96" s="2"/>
      <c r="R96" s="2"/>
      <c r="S96" s="2"/>
      <c r="T96" s="2"/>
      <c r="U96" s="2"/>
      <c r="V96" s="2"/>
      <c r="W96" s="2"/>
      <c r="X96" s="2"/>
      <c r="Y96" s="2" t="s">
        <v>58</v>
      </c>
      <c r="Z96" s="2" t="s">
        <v>1018</v>
      </c>
      <c r="AA96" s="2" t="s">
        <v>1368</v>
      </c>
      <c r="AB96" s="2" t="s">
        <v>1383</v>
      </c>
      <c r="AC96" s="2" t="s">
        <v>1019</v>
      </c>
      <c r="AD96" s="2" t="s">
        <v>1020</v>
      </c>
      <c r="AE96" s="2" t="s">
        <v>1021</v>
      </c>
      <c r="AF96" s="2" t="s">
        <v>1022</v>
      </c>
      <c r="AG96" s="2" t="s">
        <v>1023</v>
      </c>
      <c r="AH96" s="2">
        <v>0</v>
      </c>
      <c r="AI96" s="30" t="s">
        <v>1024</v>
      </c>
      <c r="AK96">
        <f t="shared" si="12"/>
        <v>1</v>
      </c>
      <c r="AL96">
        <f t="shared" si="9"/>
        <v>0</v>
      </c>
      <c r="AM96">
        <f t="shared" si="10"/>
        <v>1</v>
      </c>
      <c r="AN96">
        <f t="shared" si="11"/>
        <v>0</v>
      </c>
    </row>
    <row r="97" spans="1:40" ht="409.6">
      <c r="A97" s="2">
        <v>128</v>
      </c>
      <c r="B97" s="2"/>
      <c r="C97" s="2" t="s">
        <v>1025</v>
      </c>
      <c r="D97" s="2" t="s">
        <v>1026</v>
      </c>
      <c r="E97" s="2" t="s">
        <v>1027</v>
      </c>
      <c r="F97" s="2">
        <v>2020</v>
      </c>
      <c r="G97" s="2"/>
      <c r="H97" s="2"/>
      <c r="I97" s="2"/>
      <c r="J97" s="2" t="s">
        <v>1028</v>
      </c>
      <c r="K97" s="2"/>
      <c r="L97" s="2"/>
      <c r="M97" s="2"/>
      <c r="N97" s="2"/>
      <c r="O97" s="2"/>
      <c r="P97" s="2"/>
      <c r="Q97" s="2"/>
      <c r="R97" s="2"/>
      <c r="S97" s="2"/>
      <c r="T97" s="2"/>
      <c r="U97" s="2"/>
      <c r="V97" s="2"/>
      <c r="W97" s="2"/>
      <c r="X97" s="2"/>
      <c r="Y97" s="2" t="s">
        <v>58</v>
      </c>
      <c r="Z97" s="2" t="s">
        <v>1051</v>
      </c>
      <c r="AA97" s="2" t="s">
        <v>60</v>
      </c>
      <c r="AB97" s="2" t="s">
        <v>1383</v>
      </c>
      <c r="AC97" s="2" t="s">
        <v>1029</v>
      </c>
      <c r="AD97" s="2" t="s">
        <v>1030</v>
      </c>
      <c r="AE97" s="2" t="s">
        <v>1031</v>
      </c>
      <c r="AF97" s="2" t="s">
        <v>1032</v>
      </c>
      <c r="AG97" s="2" t="s">
        <v>66</v>
      </c>
      <c r="AH97" s="2">
        <v>0</v>
      </c>
      <c r="AI97" s="2"/>
      <c r="AK97">
        <f t="shared" si="12"/>
        <v>1</v>
      </c>
      <c r="AL97">
        <f t="shared" si="9"/>
        <v>0</v>
      </c>
      <c r="AM97">
        <f t="shared" si="10"/>
        <v>0</v>
      </c>
      <c r="AN97">
        <f t="shared" si="11"/>
        <v>1</v>
      </c>
    </row>
    <row r="98" spans="1:40" ht="409.6">
      <c r="A98" s="2">
        <v>10</v>
      </c>
      <c r="B98" s="2"/>
      <c r="C98" s="2" t="s">
        <v>1033</v>
      </c>
      <c r="D98" s="2" t="s">
        <v>1034</v>
      </c>
      <c r="E98" s="2" t="s">
        <v>1035</v>
      </c>
      <c r="F98" s="2">
        <v>2021</v>
      </c>
      <c r="G98" s="2"/>
      <c r="H98" s="2"/>
      <c r="I98" s="2"/>
      <c r="J98" s="2" t="s">
        <v>1036</v>
      </c>
      <c r="K98" s="2"/>
      <c r="L98" s="2"/>
      <c r="M98" s="2"/>
      <c r="N98" s="2"/>
      <c r="O98" s="2"/>
      <c r="P98" s="2"/>
      <c r="Q98" s="2"/>
      <c r="R98" s="2"/>
      <c r="S98" s="2"/>
      <c r="T98" s="2"/>
      <c r="U98" s="2"/>
      <c r="V98" s="2"/>
      <c r="W98" s="2"/>
      <c r="X98" s="2"/>
      <c r="Y98" s="2" t="s">
        <v>77</v>
      </c>
      <c r="Z98" s="2" t="s">
        <v>1037</v>
      </c>
      <c r="AA98" s="30" t="s">
        <v>1038</v>
      </c>
      <c r="AB98" s="30"/>
      <c r="AC98" s="30"/>
      <c r="AD98" s="30"/>
      <c r="AE98" s="30"/>
      <c r="AF98" s="30"/>
      <c r="AG98" s="30"/>
      <c r="AH98" s="30"/>
      <c r="AI98" s="2"/>
      <c r="AK98">
        <f t="shared" si="12"/>
        <v>0</v>
      </c>
      <c r="AL98">
        <f t="shared" si="9"/>
        <v>0</v>
      </c>
      <c r="AM98">
        <f t="shared" si="10"/>
        <v>0</v>
      </c>
      <c r="AN98">
        <f t="shared" si="11"/>
        <v>0</v>
      </c>
    </row>
    <row r="99" spans="1:40" ht="409.6">
      <c r="A99" s="2">
        <v>130</v>
      </c>
      <c r="B99" s="2"/>
      <c r="C99" s="2" t="s">
        <v>1039</v>
      </c>
      <c r="D99" s="2" t="s">
        <v>1040</v>
      </c>
      <c r="E99" s="2" t="s">
        <v>1041</v>
      </c>
      <c r="F99" s="2">
        <v>2013</v>
      </c>
      <c r="G99" s="2"/>
      <c r="H99" s="2"/>
      <c r="I99" s="2"/>
      <c r="J99" s="2" t="s">
        <v>1042</v>
      </c>
      <c r="K99" s="2"/>
      <c r="L99" s="2"/>
      <c r="M99" s="2"/>
      <c r="N99" s="2"/>
      <c r="O99" s="2"/>
      <c r="P99" s="2"/>
      <c r="Q99" s="2"/>
      <c r="R99" s="2"/>
      <c r="S99" s="2"/>
      <c r="T99" s="2"/>
      <c r="U99" s="2"/>
      <c r="V99" s="2"/>
      <c r="W99" s="2"/>
      <c r="X99" s="2"/>
      <c r="Y99" s="2" t="s">
        <v>58</v>
      </c>
      <c r="Z99" s="2" t="s">
        <v>1043</v>
      </c>
      <c r="AA99" s="2" t="s">
        <v>966</v>
      </c>
      <c r="AB99" s="2" t="s">
        <v>1388</v>
      </c>
      <c r="AC99" s="2"/>
      <c r="AD99" s="2" t="s">
        <v>1044</v>
      </c>
      <c r="AE99" s="2" t="s">
        <v>1045</v>
      </c>
      <c r="AF99" s="2" t="s">
        <v>1046</v>
      </c>
      <c r="AG99" s="2" t="s">
        <v>66</v>
      </c>
      <c r="AH99" s="2">
        <v>0</v>
      </c>
      <c r="AI99" s="2"/>
      <c r="AK99">
        <f t="shared" si="12"/>
        <v>1</v>
      </c>
      <c r="AL99">
        <f t="shared" si="9"/>
        <v>1</v>
      </c>
      <c r="AM99">
        <f t="shared" si="10"/>
        <v>1</v>
      </c>
      <c r="AN99">
        <f t="shared" si="11"/>
        <v>1</v>
      </c>
    </row>
    <row r="100" spans="1:40" ht="409.6">
      <c r="A100" s="2">
        <v>131</v>
      </c>
      <c r="B100" s="2"/>
      <c r="C100" s="2" t="s">
        <v>1047</v>
      </c>
      <c r="D100" s="2" t="s">
        <v>1048</v>
      </c>
      <c r="E100" s="2" t="s">
        <v>1049</v>
      </c>
      <c r="F100" s="2">
        <v>2013</v>
      </c>
      <c r="G100" s="2"/>
      <c r="H100" s="2"/>
      <c r="I100" s="2"/>
      <c r="J100" s="2" t="s">
        <v>1050</v>
      </c>
      <c r="K100" s="2"/>
      <c r="L100" s="2"/>
      <c r="M100" s="2"/>
      <c r="N100" s="2"/>
      <c r="O100" s="2"/>
      <c r="P100" s="2"/>
      <c r="Q100" s="2"/>
      <c r="R100" s="2"/>
      <c r="S100" s="2"/>
      <c r="T100" s="2"/>
      <c r="U100" s="2"/>
      <c r="V100" s="2"/>
      <c r="W100" s="2"/>
      <c r="X100" s="2"/>
      <c r="Y100" s="2" t="s">
        <v>58</v>
      </c>
      <c r="Z100" s="2" t="s">
        <v>1051</v>
      </c>
      <c r="AA100" s="2" t="s">
        <v>408</v>
      </c>
      <c r="AB100" s="2" t="s">
        <v>1383</v>
      </c>
      <c r="AC100" s="2" t="s">
        <v>1029</v>
      </c>
      <c r="AD100" s="2" t="s">
        <v>1052</v>
      </c>
      <c r="AE100" s="2" t="s">
        <v>1053</v>
      </c>
      <c r="AF100" s="2" t="s">
        <v>1054</v>
      </c>
      <c r="AG100" s="2" t="s">
        <v>1055</v>
      </c>
      <c r="AH100" s="2">
        <v>0</v>
      </c>
      <c r="AI100" s="2" t="s">
        <v>1056</v>
      </c>
      <c r="AK100">
        <f t="shared" si="12"/>
        <v>1</v>
      </c>
      <c r="AL100">
        <f t="shared" si="9"/>
        <v>0</v>
      </c>
      <c r="AM100">
        <f t="shared" si="10"/>
        <v>0</v>
      </c>
      <c r="AN100">
        <f t="shared" si="11"/>
        <v>1</v>
      </c>
    </row>
    <row r="101" spans="1:40" ht="409.6">
      <c r="A101" s="2">
        <v>132</v>
      </c>
      <c r="B101" s="2"/>
      <c r="C101" s="2" t="s">
        <v>1057</v>
      </c>
      <c r="D101" s="2" t="s">
        <v>1058</v>
      </c>
      <c r="E101" s="2" t="s">
        <v>1059</v>
      </c>
      <c r="F101" s="2">
        <v>2018</v>
      </c>
      <c r="G101" s="2"/>
      <c r="H101" s="2"/>
      <c r="I101" s="2"/>
      <c r="J101" s="2" t="s">
        <v>1060</v>
      </c>
      <c r="K101" s="2"/>
      <c r="L101" s="2"/>
      <c r="M101" s="2"/>
      <c r="N101" s="2"/>
      <c r="O101" s="2"/>
      <c r="P101" s="2"/>
      <c r="Q101" s="2"/>
      <c r="R101" s="2"/>
      <c r="S101" s="2"/>
      <c r="T101" s="2"/>
      <c r="U101" s="2"/>
      <c r="V101" s="2"/>
      <c r="W101" s="2"/>
      <c r="X101" s="2"/>
      <c r="Y101" s="2" t="s">
        <v>58</v>
      </c>
      <c r="Z101" s="2" t="s">
        <v>1051</v>
      </c>
      <c r="AA101" s="2" t="s">
        <v>1061</v>
      </c>
      <c r="AB101" s="2" t="s">
        <v>207</v>
      </c>
      <c r="AC101" s="2"/>
      <c r="AD101" s="2" t="s">
        <v>1052</v>
      </c>
      <c r="AE101" s="2" t="s">
        <v>1062</v>
      </c>
      <c r="AF101" s="2" t="s">
        <v>1063</v>
      </c>
      <c r="AG101" s="2" t="s">
        <v>66</v>
      </c>
      <c r="AH101" s="2">
        <v>0</v>
      </c>
      <c r="AI101" s="2"/>
      <c r="AK101">
        <f t="shared" si="12"/>
        <v>1</v>
      </c>
      <c r="AL101">
        <f t="shared" si="9"/>
        <v>0</v>
      </c>
      <c r="AM101">
        <f t="shared" si="10"/>
        <v>0</v>
      </c>
      <c r="AN101">
        <f t="shared" si="11"/>
        <v>1</v>
      </c>
    </row>
    <row r="102" spans="1:40" ht="409.6">
      <c r="A102" s="2">
        <v>133</v>
      </c>
      <c r="B102" s="2"/>
      <c r="C102" s="2" t="s">
        <v>1064</v>
      </c>
      <c r="D102" s="2" t="s">
        <v>459</v>
      </c>
      <c r="E102" s="2" t="s">
        <v>1065</v>
      </c>
      <c r="F102" s="2">
        <v>2021</v>
      </c>
      <c r="G102" s="2"/>
      <c r="H102" s="2"/>
      <c r="I102" s="2"/>
      <c r="J102" s="2" t="s">
        <v>1066</v>
      </c>
      <c r="K102" s="2"/>
      <c r="L102" s="2"/>
      <c r="M102" s="2"/>
      <c r="N102" s="2"/>
      <c r="O102" s="2"/>
      <c r="P102" s="2"/>
      <c r="Q102" s="2"/>
      <c r="R102" s="2"/>
      <c r="S102" s="2"/>
      <c r="T102" s="2"/>
      <c r="U102" s="2"/>
      <c r="V102" s="2"/>
      <c r="W102" s="2"/>
      <c r="X102" s="2"/>
      <c r="Y102" s="2" t="s">
        <v>58</v>
      </c>
      <c r="Z102" s="2" t="s">
        <v>1051</v>
      </c>
      <c r="AA102" s="2" t="s">
        <v>1067</v>
      </c>
      <c r="AB102" s="2" t="s">
        <v>1068</v>
      </c>
      <c r="AC102" s="2"/>
      <c r="AD102" s="2" t="s">
        <v>1069</v>
      </c>
      <c r="AE102" s="2" t="s">
        <v>1070</v>
      </c>
      <c r="AF102" s="2" t="s">
        <v>1071</v>
      </c>
      <c r="AG102" s="2" t="s">
        <v>1072</v>
      </c>
      <c r="AH102" s="2">
        <v>1</v>
      </c>
      <c r="AI102" s="2" t="s">
        <v>1073</v>
      </c>
      <c r="AK102">
        <f t="shared" si="12"/>
        <v>1</v>
      </c>
      <c r="AL102">
        <f t="shared" si="9"/>
        <v>0</v>
      </c>
      <c r="AM102">
        <f t="shared" si="10"/>
        <v>0</v>
      </c>
      <c r="AN102">
        <f t="shared" si="11"/>
        <v>1</v>
      </c>
    </row>
    <row r="103" spans="1:40" ht="409.6">
      <c r="A103" s="2">
        <v>134</v>
      </c>
      <c r="B103" s="2"/>
      <c r="C103" s="2" t="s">
        <v>1074</v>
      </c>
      <c r="D103" s="2" t="s">
        <v>1075</v>
      </c>
      <c r="E103" s="2" t="s">
        <v>1076</v>
      </c>
      <c r="F103" s="2">
        <v>2020</v>
      </c>
      <c r="G103" s="2"/>
      <c r="H103" s="2"/>
      <c r="I103" s="2"/>
      <c r="J103" s="2" t="s">
        <v>1077</v>
      </c>
      <c r="K103" s="2"/>
      <c r="L103" s="2"/>
      <c r="M103" s="2"/>
      <c r="N103" s="2"/>
      <c r="O103" s="2"/>
      <c r="P103" s="2"/>
      <c r="Q103" s="2"/>
      <c r="R103" s="2"/>
      <c r="S103" s="2"/>
      <c r="T103" s="2"/>
      <c r="U103" s="2"/>
      <c r="V103" s="2"/>
      <c r="W103" s="2"/>
      <c r="X103" s="2"/>
      <c r="Y103" s="2" t="s">
        <v>58</v>
      </c>
      <c r="Z103" s="2" t="s">
        <v>1051</v>
      </c>
      <c r="AA103" s="2" t="s">
        <v>1078</v>
      </c>
      <c r="AB103" s="2" t="s">
        <v>207</v>
      </c>
      <c r="AC103" s="2"/>
      <c r="AD103" s="2" t="s">
        <v>1079</v>
      </c>
      <c r="AE103" s="2" t="s">
        <v>1080</v>
      </c>
      <c r="AF103" s="2" t="s">
        <v>1081</v>
      </c>
      <c r="AG103" s="2" t="s">
        <v>66</v>
      </c>
      <c r="AH103" s="2">
        <v>1</v>
      </c>
      <c r="AI103" s="2" t="s">
        <v>1082</v>
      </c>
      <c r="AK103">
        <f t="shared" si="12"/>
        <v>1</v>
      </c>
      <c r="AL103">
        <f t="shared" si="9"/>
        <v>0</v>
      </c>
      <c r="AM103">
        <f t="shared" si="10"/>
        <v>0</v>
      </c>
      <c r="AN103">
        <f t="shared" si="11"/>
        <v>1</v>
      </c>
    </row>
    <row r="104" spans="1:40" ht="409.6">
      <c r="A104" s="2">
        <v>135</v>
      </c>
      <c r="B104" s="2"/>
      <c r="C104" s="2" t="s">
        <v>1083</v>
      </c>
      <c r="D104" s="2" t="s">
        <v>1084</v>
      </c>
      <c r="E104" s="2" t="s">
        <v>1085</v>
      </c>
      <c r="F104" s="2">
        <v>2022</v>
      </c>
      <c r="G104" s="2"/>
      <c r="H104" s="2"/>
      <c r="I104" s="2"/>
      <c r="J104" s="2" t="s">
        <v>1086</v>
      </c>
      <c r="K104" s="2"/>
      <c r="L104" s="2"/>
      <c r="M104" s="2"/>
      <c r="N104" s="2"/>
      <c r="O104" s="2"/>
      <c r="P104" s="2"/>
      <c r="Q104" s="2"/>
      <c r="R104" s="2"/>
      <c r="S104" s="2"/>
      <c r="T104" s="2"/>
      <c r="U104" s="2"/>
      <c r="V104" s="2"/>
      <c r="W104" s="2"/>
      <c r="X104" s="2"/>
      <c r="Y104" s="2" t="s">
        <v>58</v>
      </c>
      <c r="Z104" s="2" t="s">
        <v>1051</v>
      </c>
      <c r="AA104" s="2" t="s">
        <v>1087</v>
      </c>
      <c r="AB104" s="2" t="s">
        <v>207</v>
      </c>
      <c r="AC104" s="2"/>
      <c r="AD104" s="2" t="s">
        <v>1079</v>
      </c>
      <c r="AE104" s="2" t="s">
        <v>1088</v>
      </c>
      <c r="AF104" s="2" t="s">
        <v>1089</v>
      </c>
      <c r="AG104" s="2" t="s">
        <v>1090</v>
      </c>
      <c r="AH104" s="2">
        <v>1</v>
      </c>
      <c r="AI104" s="2" t="s">
        <v>1082</v>
      </c>
      <c r="AK104">
        <f t="shared" si="12"/>
        <v>1</v>
      </c>
      <c r="AL104">
        <f t="shared" si="9"/>
        <v>0</v>
      </c>
      <c r="AM104">
        <f t="shared" si="10"/>
        <v>0</v>
      </c>
      <c r="AN104">
        <f t="shared" si="11"/>
        <v>1</v>
      </c>
    </row>
    <row r="105" spans="1:40" ht="409.6">
      <c r="A105" s="2">
        <v>136</v>
      </c>
      <c r="B105" s="2"/>
      <c r="C105" s="2" t="s">
        <v>1091</v>
      </c>
      <c r="D105" s="2" t="s">
        <v>1092</v>
      </c>
      <c r="E105" s="2" t="s">
        <v>1093</v>
      </c>
      <c r="F105" s="2">
        <v>2019</v>
      </c>
      <c r="G105" s="2"/>
      <c r="H105" s="2"/>
      <c r="I105" s="2"/>
      <c r="J105" s="2" t="s">
        <v>1094</v>
      </c>
      <c r="K105" s="2"/>
      <c r="L105" s="2"/>
      <c r="M105" s="2"/>
      <c r="N105" s="2"/>
      <c r="O105" s="2"/>
      <c r="P105" s="2"/>
      <c r="Q105" s="2"/>
      <c r="R105" s="2"/>
      <c r="S105" s="2"/>
      <c r="T105" s="2"/>
      <c r="U105" s="2"/>
      <c r="V105" s="2"/>
      <c r="W105" s="2"/>
      <c r="X105" s="2"/>
      <c r="Y105" s="2" t="s">
        <v>58</v>
      </c>
      <c r="Z105" s="2" t="s">
        <v>1051</v>
      </c>
      <c r="AA105" s="2" t="s">
        <v>408</v>
      </c>
      <c r="AB105" s="2" t="s">
        <v>1383</v>
      </c>
      <c r="AC105" s="2" t="s">
        <v>1095</v>
      </c>
      <c r="AD105" s="2" t="s">
        <v>1079</v>
      </c>
      <c r="AE105" s="2"/>
      <c r="AF105" s="2" t="s">
        <v>1054</v>
      </c>
      <c r="AG105" s="2" t="s">
        <v>1096</v>
      </c>
      <c r="AH105" s="2">
        <v>0</v>
      </c>
      <c r="AI105" s="2"/>
      <c r="AK105">
        <f t="shared" si="12"/>
        <v>1</v>
      </c>
      <c r="AL105">
        <f t="shared" si="9"/>
        <v>0</v>
      </c>
      <c r="AM105">
        <f t="shared" si="10"/>
        <v>0</v>
      </c>
      <c r="AN105">
        <f t="shared" si="11"/>
        <v>1</v>
      </c>
    </row>
    <row r="106" spans="1:40" ht="409.6">
      <c r="A106" s="2">
        <v>137</v>
      </c>
      <c r="B106" s="2"/>
      <c r="C106" s="2" t="s">
        <v>1097</v>
      </c>
      <c r="D106" s="2" t="s">
        <v>1098</v>
      </c>
      <c r="E106" s="2" t="s">
        <v>1099</v>
      </c>
      <c r="F106" s="2">
        <v>2020</v>
      </c>
      <c r="G106" s="2"/>
      <c r="H106" s="2"/>
      <c r="I106" s="2"/>
      <c r="J106" s="2" t="s">
        <v>1100</v>
      </c>
      <c r="K106" s="2"/>
      <c r="L106" s="2"/>
      <c r="M106" s="2"/>
      <c r="N106" s="2"/>
      <c r="O106" s="2"/>
      <c r="P106" s="2"/>
      <c r="Q106" s="2"/>
      <c r="R106" s="2"/>
      <c r="S106" s="2"/>
      <c r="T106" s="2"/>
      <c r="U106" s="2"/>
      <c r="V106" s="2"/>
      <c r="W106" s="2"/>
      <c r="X106" s="2"/>
      <c r="Y106" s="2" t="s">
        <v>58</v>
      </c>
      <c r="Z106" s="2" t="s">
        <v>1051</v>
      </c>
      <c r="AA106" s="2" t="s">
        <v>408</v>
      </c>
      <c r="AB106" s="2" t="s">
        <v>91</v>
      </c>
      <c r="AC106" s="2"/>
      <c r="AD106" s="2" t="s">
        <v>1052</v>
      </c>
      <c r="AE106" s="2" t="s">
        <v>1101</v>
      </c>
      <c r="AF106" s="2" t="s">
        <v>1102</v>
      </c>
      <c r="AG106" s="2" t="s">
        <v>66</v>
      </c>
      <c r="AH106" s="2">
        <v>0</v>
      </c>
      <c r="AI106" s="2"/>
      <c r="AK106">
        <f t="shared" si="12"/>
        <v>1</v>
      </c>
      <c r="AL106">
        <f t="shared" si="9"/>
        <v>0</v>
      </c>
      <c r="AM106">
        <f t="shared" si="10"/>
        <v>0</v>
      </c>
      <c r="AN106">
        <f t="shared" si="11"/>
        <v>1</v>
      </c>
    </row>
    <row r="107" spans="1:40" ht="409.6">
      <c r="A107" s="2">
        <v>104</v>
      </c>
      <c r="B107" s="2"/>
      <c r="C107" s="2" t="s">
        <v>1103</v>
      </c>
      <c r="D107" s="2" t="s">
        <v>1104</v>
      </c>
      <c r="E107" s="2" t="s">
        <v>846</v>
      </c>
      <c r="F107" s="2">
        <v>2019</v>
      </c>
      <c r="G107" s="2"/>
      <c r="H107" s="2"/>
      <c r="I107" s="2"/>
      <c r="J107" s="2" t="s">
        <v>1105</v>
      </c>
      <c r="K107" s="2"/>
      <c r="L107" s="2"/>
      <c r="M107" s="2"/>
      <c r="N107" s="2"/>
      <c r="O107" s="2"/>
      <c r="P107" s="2"/>
      <c r="Q107" s="2"/>
      <c r="R107" s="2"/>
      <c r="S107" s="2"/>
      <c r="T107" s="2"/>
      <c r="U107" s="2"/>
      <c r="V107" s="2"/>
      <c r="W107" s="2"/>
      <c r="X107" s="2"/>
      <c r="Y107" s="2" t="s">
        <v>58</v>
      </c>
      <c r="Z107" s="2" t="s">
        <v>1051</v>
      </c>
      <c r="AA107" s="2" t="s">
        <v>408</v>
      </c>
      <c r="AB107" s="2" t="s">
        <v>1106</v>
      </c>
      <c r="AC107" s="2"/>
      <c r="AD107" s="2" t="s">
        <v>1052</v>
      </c>
      <c r="AE107" s="2" t="s">
        <v>1107</v>
      </c>
      <c r="AF107" s="2" t="s">
        <v>1316</v>
      </c>
      <c r="AG107" s="2" t="s">
        <v>66</v>
      </c>
      <c r="AH107" s="2">
        <v>0</v>
      </c>
      <c r="AI107" s="2"/>
      <c r="AK107">
        <f t="shared" si="12"/>
        <v>1</v>
      </c>
      <c r="AL107">
        <f t="shared" si="9"/>
        <v>0</v>
      </c>
      <c r="AM107">
        <f t="shared" si="10"/>
        <v>0</v>
      </c>
      <c r="AN107">
        <f t="shared" si="11"/>
        <v>1</v>
      </c>
    </row>
    <row r="108" spans="1:40" ht="409.6">
      <c r="A108" s="2">
        <v>140</v>
      </c>
      <c r="B108" s="2"/>
      <c r="C108" s="2" t="s">
        <v>1108</v>
      </c>
      <c r="D108" s="2" t="s">
        <v>1109</v>
      </c>
      <c r="E108" s="2" t="s">
        <v>1110</v>
      </c>
      <c r="F108" s="2">
        <v>2018</v>
      </c>
      <c r="G108" s="2"/>
      <c r="H108" s="2"/>
      <c r="I108" s="2"/>
      <c r="J108" s="2" t="s">
        <v>1111</v>
      </c>
      <c r="K108" s="2"/>
      <c r="L108" s="2"/>
      <c r="M108" s="2"/>
      <c r="N108" s="2"/>
      <c r="O108" s="2"/>
      <c r="P108" s="2"/>
      <c r="Q108" s="2"/>
      <c r="R108" s="2"/>
      <c r="S108" s="2"/>
      <c r="T108" s="2"/>
      <c r="U108" s="2"/>
      <c r="V108" s="2"/>
      <c r="W108" s="2"/>
      <c r="X108" s="2"/>
      <c r="Y108" s="2" t="s">
        <v>58</v>
      </c>
      <c r="Z108" s="2" t="s">
        <v>1018</v>
      </c>
      <c r="AA108" s="2" t="s">
        <v>1368</v>
      </c>
      <c r="AB108" s="2" t="s">
        <v>1383</v>
      </c>
      <c r="AC108" s="2" t="s">
        <v>1112</v>
      </c>
      <c r="AD108" s="2" t="s">
        <v>1113</v>
      </c>
      <c r="AE108" s="2" t="s">
        <v>1114</v>
      </c>
      <c r="AF108" s="2"/>
      <c r="AG108" s="2" t="s">
        <v>1115</v>
      </c>
      <c r="AH108" s="2">
        <v>0.5</v>
      </c>
      <c r="AI108" s="2" t="s">
        <v>1116</v>
      </c>
      <c r="AK108">
        <f t="shared" si="12"/>
        <v>1</v>
      </c>
      <c r="AL108">
        <f t="shared" si="9"/>
        <v>0</v>
      </c>
      <c r="AM108">
        <f t="shared" si="10"/>
        <v>1</v>
      </c>
      <c r="AN108">
        <f t="shared" si="11"/>
        <v>0</v>
      </c>
    </row>
    <row r="109" spans="1:40" ht="409.6">
      <c r="A109" s="2">
        <v>141</v>
      </c>
      <c r="B109" s="2"/>
      <c r="C109" s="2" t="s">
        <v>1117</v>
      </c>
      <c r="D109" s="2" t="s">
        <v>1118</v>
      </c>
      <c r="E109" s="2" t="s">
        <v>1119</v>
      </c>
      <c r="F109" s="2">
        <v>2021</v>
      </c>
      <c r="G109" s="2"/>
      <c r="H109" s="2"/>
      <c r="I109" s="2"/>
      <c r="J109" s="2" t="s">
        <v>1120</v>
      </c>
      <c r="K109" s="2"/>
      <c r="L109" s="2"/>
      <c r="M109" s="2"/>
      <c r="N109" s="2"/>
      <c r="O109" s="2"/>
      <c r="P109" s="2"/>
      <c r="Q109" s="2"/>
      <c r="R109" s="2"/>
      <c r="S109" s="2"/>
      <c r="T109" s="2"/>
      <c r="U109" s="2"/>
      <c r="V109" s="2"/>
      <c r="W109" s="2"/>
      <c r="X109" s="2"/>
      <c r="Y109" s="2" t="s">
        <v>58</v>
      </c>
      <c r="Z109" s="2" t="s">
        <v>1018</v>
      </c>
      <c r="AA109" s="2" t="s">
        <v>129</v>
      </c>
      <c r="AB109" s="2" t="s">
        <v>207</v>
      </c>
      <c r="AC109" s="2" t="s">
        <v>1112</v>
      </c>
      <c r="AD109" s="2" t="s">
        <v>1121</v>
      </c>
      <c r="AE109" s="2" t="s">
        <v>1122</v>
      </c>
      <c r="AF109" s="2" t="s">
        <v>1123</v>
      </c>
      <c r="AG109" s="2" t="s">
        <v>1124</v>
      </c>
      <c r="AH109" s="2">
        <v>1</v>
      </c>
      <c r="AI109" s="2" t="s">
        <v>1125</v>
      </c>
      <c r="AK109">
        <f t="shared" si="12"/>
        <v>1</v>
      </c>
      <c r="AL109">
        <f t="shared" si="9"/>
        <v>0</v>
      </c>
      <c r="AM109">
        <f t="shared" si="10"/>
        <v>1</v>
      </c>
      <c r="AN109">
        <f t="shared" si="11"/>
        <v>0</v>
      </c>
    </row>
    <row r="110" spans="1:40" ht="409.6">
      <c r="A110" s="2">
        <v>142</v>
      </c>
      <c r="B110" s="2"/>
      <c r="C110" s="2" t="s">
        <v>1126</v>
      </c>
      <c r="D110" s="2" t="s">
        <v>1127</v>
      </c>
      <c r="E110" s="2" t="s">
        <v>1128</v>
      </c>
      <c r="F110" s="2">
        <v>2016</v>
      </c>
      <c r="G110" s="2"/>
      <c r="H110" s="2"/>
      <c r="I110" s="2"/>
      <c r="J110" s="2" t="s">
        <v>1129</v>
      </c>
      <c r="K110" s="2"/>
      <c r="L110" s="2"/>
      <c r="M110" s="2"/>
      <c r="N110" s="2"/>
      <c r="O110" s="2"/>
      <c r="P110" s="2"/>
      <c r="Q110" s="2"/>
      <c r="R110" s="2"/>
      <c r="S110" s="2"/>
      <c r="T110" s="2"/>
      <c r="U110" s="2"/>
      <c r="V110" s="2"/>
      <c r="W110" s="2"/>
      <c r="X110" s="2"/>
      <c r="Y110" s="2" t="s">
        <v>58</v>
      </c>
      <c r="Z110" s="2" t="s">
        <v>1018</v>
      </c>
      <c r="AA110" s="2" t="s">
        <v>1369</v>
      </c>
      <c r="AB110" s="2" t="s">
        <v>409</v>
      </c>
      <c r="AC110" s="2"/>
      <c r="AD110" s="2" t="s">
        <v>1130</v>
      </c>
      <c r="AE110" s="2" t="s">
        <v>1131</v>
      </c>
      <c r="AF110" s="2"/>
      <c r="AG110" s="2" t="s">
        <v>1124</v>
      </c>
      <c r="AH110" s="2">
        <v>0</v>
      </c>
      <c r="AI110" s="2"/>
      <c r="AK110">
        <f t="shared" si="12"/>
        <v>1</v>
      </c>
      <c r="AL110">
        <f t="shared" si="9"/>
        <v>0</v>
      </c>
      <c r="AM110">
        <f t="shared" si="10"/>
        <v>1</v>
      </c>
      <c r="AN110">
        <f t="shared" si="11"/>
        <v>0</v>
      </c>
    </row>
    <row r="111" spans="1:40" ht="409.6">
      <c r="A111" s="2">
        <v>143</v>
      </c>
      <c r="B111" s="2"/>
      <c r="C111" s="2" t="s">
        <v>1132</v>
      </c>
      <c r="D111" s="2" t="s">
        <v>1133</v>
      </c>
      <c r="E111" s="2" t="s">
        <v>1134</v>
      </c>
      <c r="F111" s="2">
        <v>2017</v>
      </c>
      <c r="G111" s="2"/>
      <c r="H111" s="2"/>
      <c r="I111" s="2"/>
      <c r="J111" s="2" t="s">
        <v>1135</v>
      </c>
      <c r="K111" s="2"/>
      <c r="L111" s="2"/>
      <c r="M111" s="2"/>
      <c r="N111" s="2"/>
      <c r="O111" s="2"/>
      <c r="P111" s="2"/>
      <c r="Q111" s="2"/>
      <c r="R111" s="2"/>
      <c r="S111" s="2"/>
      <c r="T111" s="2"/>
      <c r="U111" s="2"/>
      <c r="V111" s="2"/>
      <c r="W111" s="2"/>
      <c r="X111" s="2"/>
      <c r="Y111" s="2" t="s">
        <v>58</v>
      </c>
      <c r="Z111" s="2" t="s">
        <v>1018</v>
      </c>
      <c r="AA111" s="2" t="s">
        <v>1370</v>
      </c>
      <c r="AB111" s="2" t="s">
        <v>409</v>
      </c>
      <c r="AC111" s="2"/>
      <c r="AD111" s="2" t="s">
        <v>1136</v>
      </c>
      <c r="AE111" s="2" t="s">
        <v>1137</v>
      </c>
      <c r="AF111" s="2" t="s">
        <v>1138</v>
      </c>
      <c r="AG111" s="2" t="s">
        <v>1124</v>
      </c>
      <c r="AH111" s="2">
        <v>0</v>
      </c>
      <c r="AI111" s="2"/>
      <c r="AK111">
        <f t="shared" si="12"/>
        <v>1</v>
      </c>
      <c r="AL111">
        <f t="shared" si="9"/>
        <v>0</v>
      </c>
      <c r="AM111">
        <f t="shared" si="10"/>
        <v>1</v>
      </c>
      <c r="AN111">
        <f t="shared" si="11"/>
        <v>0</v>
      </c>
    </row>
    <row r="112" spans="1:40" ht="409.6">
      <c r="A112" s="2">
        <v>144</v>
      </c>
      <c r="B112" s="2"/>
      <c r="C112" s="2" t="s">
        <v>1139</v>
      </c>
      <c r="D112" s="2" t="s">
        <v>1140</v>
      </c>
      <c r="E112" s="2" t="s">
        <v>1141</v>
      </c>
      <c r="F112" s="2">
        <v>2018</v>
      </c>
      <c r="G112" s="2"/>
      <c r="H112" s="2"/>
      <c r="I112" s="2"/>
      <c r="J112" s="2" t="s">
        <v>1142</v>
      </c>
      <c r="K112" s="2"/>
      <c r="L112" s="2"/>
      <c r="M112" s="2"/>
      <c r="N112" s="2"/>
      <c r="O112" s="2"/>
      <c r="P112" s="2"/>
      <c r="Q112" s="2"/>
      <c r="R112" s="2"/>
      <c r="S112" s="2"/>
      <c r="T112" s="2"/>
      <c r="U112" s="2"/>
      <c r="V112" s="2"/>
      <c r="W112" s="2"/>
      <c r="X112" s="2"/>
      <c r="Y112" s="2" t="s">
        <v>58</v>
      </c>
      <c r="Z112" s="2" t="s">
        <v>1051</v>
      </c>
      <c r="AA112" s="2" t="s">
        <v>408</v>
      </c>
      <c r="AB112" s="2" t="s">
        <v>1383</v>
      </c>
      <c r="AC112" s="2" t="s">
        <v>1143</v>
      </c>
      <c r="AD112" s="2" t="s">
        <v>1144</v>
      </c>
      <c r="AE112" s="2" t="s">
        <v>1145</v>
      </c>
      <c r="AF112" s="2" t="s">
        <v>1146</v>
      </c>
      <c r="AG112" s="2" t="s">
        <v>1147</v>
      </c>
      <c r="AH112" s="2">
        <v>1</v>
      </c>
      <c r="AI112" s="2" t="s">
        <v>1148</v>
      </c>
      <c r="AK112">
        <f t="shared" si="12"/>
        <v>1</v>
      </c>
      <c r="AL112">
        <f t="shared" si="9"/>
        <v>0</v>
      </c>
      <c r="AM112">
        <f t="shared" si="10"/>
        <v>0</v>
      </c>
      <c r="AN112">
        <f t="shared" si="11"/>
        <v>1</v>
      </c>
    </row>
    <row r="113" spans="1:40" ht="409.6">
      <c r="A113" s="2">
        <v>146</v>
      </c>
      <c r="B113" s="2"/>
      <c r="C113" s="2" t="s">
        <v>1149</v>
      </c>
      <c r="D113" s="2" t="s">
        <v>1150</v>
      </c>
      <c r="E113" s="2" t="s">
        <v>1151</v>
      </c>
      <c r="F113" s="2">
        <v>2017</v>
      </c>
      <c r="G113" s="2"/>
      <c r="H113" s="2"/>
      <c r="I113" s="2"/>
      <c r="J113" s="2" t="s">
        <v>1152</v>
      </c>
      <c r="K113" s="2"/>
      <c r="L113" s="2"/>
      <c r="M113" s="2"/>
      <c r="N113" s="2"/>
      <c r="O113" s="2"/>
      <c r="P113" s="2"/>
      <c r="Q113" s="2"/>
      <c r="R113" s="2"/>
      <c r="S113" s="2"/>
      <c r="T113" s="2"/>
      <c r="U113" s="2"/>
      <c r="V113" s="2"/>
      <c r="W113" s="2"/>
      <c r="X113" s="2"/>
      <c r="Y113" s="2" t="s">
        <v>58</v>
      </c>
      <c r="Z113" s="2" t="s">
        <v>1037</v>
      </c>
      <c r="AA113" s="2" t="s">
        <v>1153</v>
      </c>
      <c r="AB113" s="2" t="s">
        <v>207</v>
      </c>
      <c r="AC113" s="2"/>
      <c r="AD113" s="2"/>
      <c r="AE113" s="2" t="s">
        <v>1154</v>
      </c>
      <c r="AF113" s="2" t="s">
        <v>1155</v>
      </c>
      <c r="AG113" s="2" t="s">
        <v>717</v>
      </c>
      <c r="AH113" s="2">
        <v>0</v>
      </c>
      <c r="AI113" s="2"/>
      <c r="AK113">
        <f t="shared" si="12"/>
        <v>1</v>
      </c>
      <c r="AL113">
        <f t="shared" si="9"/>
        <v>0</v>
      </c>
      <c r="AM113">
        <f t="shared" si="10"/>
        <v>1</v>
      </c>
      <c r="AN113">
        <f t="shared" si="11"/>
        <v>1</v>
      </c>
    </row>
    <row r="114" spans="1:40" ht="409.6">
      <c r="A114" s="2">
        <v>147</v>
      </c>
      <c r="B114" s="2"/>
      <c r="C114" s="2" t="s">
        <v>1156</v>
      </c>
      <c r="D114" s="2" t="s">
        <v>1157</v>
      </c>
      <c r="E114" s="2" t="s">
        <v>1158</v>
      </c>
      <c r="F114" s="2">
        <v>2014</v>
      </c>
      <c r="G114" s="2"/>
      <c r="H114" s="2"/>
      <c r="I114" s="2"/>
      <c r="J114" s="2" t="s">
        <v>1159</v>
      </c>
      <c r="K114" s="2"/>
      <c r="L114" s="2"/>
      <c r="M114" s="2"/>
      <c r="N114" s="2"/>
      <c r="O114" s="2"/>
      <c r="P114" s="2"/>
      <c r="Q114" s="2"/>
      <c r="R114" s="2"/>
      <c r="S114" s="2"/>
      <c r="T114" s="2"/>
      <c r="U114" s="2"/>
      <c r="V114" s="2"/>
      <c r="W114" s="2"/>
      <c r="X114" s="2"/>
      <c r="Y114" s="2" t="s">
        <v>58</v>
      </c>
      <c r="Z114" s="2" t="s">
        <v>1051</v>
      </c>
      <c r="AA114" s="2" t="s">
        <v>1364</v>
      </c>
      <c r="AB114" s="2" t="s">
        <v>91</v>
      </c>
      <c r="AC114" s="2"/>
      <c r="AD114" s="2" t="s">
        <v>1160</v>
      </c>
      <c r="AE114" s="2" t="s">
        <v>1161</v>
      </c>
      <c r="AF114" s="2" t="s">
        <v>1162</v>
      </c>
      <c r="AG114" s="2" t="s">
        <v>1163</v>
      </c>
      <c r="AH114" s="2">
        <v>0</v>
      </c>
      <c r="AI114" s="2"/>
      <c r="AK114">
        <f t="shared" si="12"/>
        <v>1</v>
      </c>
      <c r="AL114">
        <f t="shared" si="9"/>
        <v>0</v>
      </c>
      <c r="AM114">
        <f t="shared" si="10"/>
        <v>0</v>
      </c>
      <c r="AN114">
        <f t="shared" si="11"/>
        <v>1</v>
      </c>
    </row>
    <row r="115" spans="1:40" ht="409.6">
      <c r="A115" s="2">
        <v>148</v>
      </c>
      <c r="B115" s="2"/>
      <c r="C115" s="2" t="s">
        <v>1164</v>
      </c>
      <c r="D115" s="2" t="s">
        <v>1165</v>
      </c>
      <c r="E115" s="2" t="s">
        <v>1166</v>
      </c>
      <c r="F115" s="2">
        <v>2014</v>
      </c>
      <c r="G115" s="2"/>
      <c r="H115" s="2"/>
      <c r="I115" s="2"/>
      <c r="J115" s="2" t="s">
        <v>1167</v>
      </c>
      <c r="K115" s="2"/>
      <c r="L115" s="2"/>
      <c r="M115" s="2"/>
      <c r="N115" s="2"/>
      <c r="O115" s="2"/>
      <c r="P115" s="2"/>
      <c r="Q115" s="2"/>
      <c r="R115" s="2"/>
      <c r="S115" s="2"/>
      <c r="T115" s="2"/>
      <c r="U115" s="2"/>
      <c r="V115" s="2"/>
      <c r="W115" s="2"/>
      <c r="X115" s="2"/>
      <c r="Y115" s="2" t="s">
        <v>58</v>
      </c>
      <c r="Z115" s="2" t="s">
        <v>1168</v>
      </c>
      <c r="AA115" s="2" t="s">
        <v>1169</v>
      </c>
      <c r="AB115" s="2" t="s">
        <v>91</v>
      </c>
      <c r="AC115" s="2"/>
      <c r="AD115" s="2" t="s">
        <v>1170</v>
      </c>
      <c r="AE115" s="2" t="s">
        <v>1171</v>
      </c>
      <c r="AF115" s="2" t="s">
        <v>1172</v>
      </c>
      <c r="AG115" s="2" t="s">
        <v>1173</v>
      </c>
      <c r="AH115" s="2">
        <v>0.5</v>
      </c>
      <c r="AI115" s="2" t="s">
        <v>1174</v>
      </c>
      <c r="AK115">
        <f t="shared" si="12"/>
        <v>1</v>
      </c>
      <c r="AL115">
        <f t="shared" si="9"/>
        <v>0</v>
      </c>
      <c r="AM115">
        <f t="shared" si="10"/>
        <v>1</v>
      </c>
      <c r="AN115">
        <f t="shared" si="11"/>
        <v>1</v>
      </c>
    </row>
    <row r="116" spans="1:40" ht="409.6">
      <c r="A116" s="2">
        <v>149</v>
      </c>
      <c r="B116" s="2"/>
      <c r="C116" s="2" t="s">
        <v>1175</v>
      </c>
      <c r="D116" s="2" t="s">
        <v>1176</v>
      </c>
      <c r="E116" s="2" t="s">
        <v>1177</v>
      </c>
      <c r="F116" s="2">
        <v>2018</v>
      </c>
      <c r="G116" s="2"/>
      <c r="H116" s="2"/>
      <c r="I116" s="2"/>
      <c r="J116" s="2" t="s">
        <v>1178</v>
      </c>
      <c r="K116" s="2"/>
      <c r="L116" s="2"/>
      <c r="M116" s="2"/>
      <c r="N116" s="2"/>
      <c r="O116" s="2"/>
      <c r="P116" s="2"/>
      <c r="Q116" s="2"/>
      <c r="R116" s="2"/>
      <c r="S116" s="2"/>
      <c r="T116" s="2"/>
      <c r="U116" s="2"/>
      <c r="V116" s="2"/>
      <c r="W116" s="2"/>
      <c r="X116" s="2"/>
      <c r="Y116" s="2" t="s">
        <v>58</v>
      </c>
      <c r="Z116" s="2" t="s">
        <v>1179</v>
      </c>
      <c r="AA116" s="2" t="s">
        <v>1169</v>
      </c>
      <c r="AB116" s="2" t="s">
        <v>91</v>
      </c>
      <c r="AC116" s="2"/>
      <c r="AD116" s="2" t="s">
        <v>1079</v>
      </c>
      <c r="AE116" s="2"/>
      <c r="AF116" s="2" t="s">
        <v>1180</v>
      </c>
      <c r="AG116" s="2" t="s">
        <v>66</v>
      </c>
      <c r="AH116" s="2">
        <v>0</v>
      </c>
      <c r="AI116" s="2" t="s">
        <v>1181</v>
      </c>
      <c r="AK116">
        <f t="shared" si="12"/>
        <v>1</v>
      </c>
      <c r="AL116">
        <f t="shared" si="9"/>
        <v>0</v>
      </c>
      <c r="AM116">
        <f t="shared" si="10"/>
        <v>0</v>
      </c>
      <c r="AN116">
        <f t="shared" si="11"/>
        <v>1</v>
      </c>
    </row>
    <row r="117" spans="1:40" ht="409.6">
      <c r="A117" s="2">
        <v>150</v>
      </c>
      <c r="B117" s="2"/>
      <c r="C117" s="2" t="s">
        <v>1182</v>
      </c>
      <c r="D117" s="2" t="s">
        <v>1183</v>
      </c>
      <c r="E117" s="2" t="s">
        <v>1184</v>
      </c>
      <c r="F117" s="2">
        <v>2023</v>
      </c>
      <c r="G117" s="2"/>
      <c r="H117" s="2"/>
      <c r="I117" s="2"/>
      <c r="J117" s="2" t="s">
        <v>1185</v>
      </c>
      <c r="K117" s="2"/>
      <c r="L117" s="2"/>
      <c r="M117" s="2"/>
      <c r="N117" s="2"/>
      <c r="O117" s="2"/>
      <c r="P117" s="2"/>
      <c r="Q117" s="2"/>
      <c r="R117" s="2"/>
      <c r="S117" s="2"/>
      <c r="T117" s="2"/>
      <c r="U117" s="2"/>
      <c r="V117" s="2"/>
      <c r="W117" s="2"/>
      <c r="X117" s="2"/>
      <c r="Y117" s="2" t="s">
        <v>58</v>
      </c>
      <c r="Z117" s="2" t="s">
        <v>1051</v>
      </c>
      <c r="AA117" s="2" t="s">
        <v>114</v>
      </c>
      <c r="AB117" s="2" t="s">
        <v>1186</v>
      </c>
      <c r="AC117" s="2"/>
      <c r="AD117" s="2" t="s">
        <v>1187</v>
      </c>
      <c r="AE117" s="2" t="s">
        <v>1188</v>
      </c>
      <c r="AF117" s="2" t="s">
        <v>1189</v>
      </c>
      <c r="AG117" s="2" t="s">
        <v>66</v>
      </c>
      <c r="AH117" s="2">
        <v>1</v>
      </c>
      <c r="AI117" s="2" t="s">
        <v>1190</v>
      </c>
      <c r="AK117">
        <f t="shared" si="12"/>
        <v>1</v>
      </c>
      <c r="AL117">
        <f t="shared" si="9"/>
        <v>0</v>
      </c>
      <c r="AM117">
        <f t="shared" si="10"/>
        <v>0</v>
      </c>
      <c r="AN117">
        <f t="shared" si="11"/>
        <v>1</v>
      </c>
    </row>
    <row r="118" spans="1:40" ht="409.6">
      <c r="A118" s="2">
        <v>151</v>
      </c>
      <c r="B118" s="2"/>
      <c r="C118" s="2" t="s">
        <v>1191</v>
      </c>
      <c r="D118" s="2" t="s">
        <v>1192</v>
      </c>
      <c r="E118" s="2" t="s">
        <v>1193</v>
      </c>
      <c r="F118" s="2">
        <v>2014</v>
      </c>
      <c r="G118" s="2"/>
      <c r="H118" s="2"/>
      <c r="I118" s="2"/>
      <c r="J118" s="2" t="s">
        <v>1194</v>
      </c>
      <c r="K118" s="2"/>
      <c r="L118" s="2"/>
      <c r="M118" s="2"/>
      <c r="N118" s="2"/>
      <c r="O118" s="2"/>
      <c r="P118" s="2"/>
      <c r="Q118" s="2"/>
      <c r="R118" s="2"/>
      <c r="S118" s="2"/>
      <c r="T118" s="2"/>
      <c r="U118" s="2"/>
      <c r="V118" s="2"/>
      <c r="W118" s="2"/>
      <c r="X118" s="2"/>
      <c r="Y118" s="2" t="s">
        <v>58</v>
      </c>
      <c r="Z118" s="2" t="s">
        <v>1051</v>
      </c>
      <c r="AA118" s="2" t="s">
        <v>142</v>
      </c>
      <c r="AB118" s="2" t="s">
        <v>1324</v>
      </c>
      <c r="AC118" s="2"/>
      <c r="AD118" s="2" t="s">
        <v>1052</v>
      </c>
      <c r="AE118" s="2" t="s">
        <v>1195</v>
      </c>
      <c r="AF118" s="2" t="s">
        <v>1196</v>
      </c>
      <c r="AG118" s="2" t="s">
        <v>66</v>
      </c>
      <c r="AH118" s="2">
        <v>0</v>
      </c>
      <c r="AI118" s="2" t="s">
        <v>1197</v>
      </c>
      <c r="AK118">
        <f t="shared" si="12"/>
        <v>1</v>
      </c>
      <c r="AL118">
        <f t="shared" si="9"/>
        <v>0</v>
      </c>
      <c r="AM118">
        <f t="shared" si="10"/>
        <v>0</v>
      </c>
      <c r="AN118">
        <f t="shared" si="11"/>
        <v>1</v>
      </c>
    </row>
    <row r="119" spans="1:40" ht="409.6">
      <c r="A119" s="2">
        <v>152</v>
      </c>
      <c r="B119" s="2"/>
      <c r="C119" s="2" t="s">
        <v>1198</v>
      </c>
      <c r="D119" s="2" t="s">
        <v>1199</v>
      </c>
      <c r="E119" s="2" t="s">
        <v>1200</v>
      </c>
      <c r="F119" s="2">
        <v>2015</v>
      </c>
      <c r="G119" s="2"/>
      <c r="H119" s="2"/>
      <c r="I119" s="2"/>
      <c r="J119" s="2" t="s">
        <v>1201</v>
      </c>
      <c r="K119" s="2"/>
      <c r="L119" s="2"/>
      <c r="M119" s="2"/>
      <c r="N119" s="2"/>
      <c r="O119" s="2"/>
      <c r="P119" s="2"/>
      <c r="Q119" s="2"/>
      <c r="R119" s="2"/>
      <c r="S119" s="2"/>
      <c r="T119" s="2"/>
      <c r="U119" s="2"/>
      <c r="V119" s="2"/>
      <c r="W119" s="2"/>
      <c r="X119" s="2"/>
      <c r="Y119" s="2" t="s">
        <v>58</v>
      </c>
      <c r="Z119" s="2" t="s">
        <v>1051</v>
      </c>
      <c r="AA119" s="2" t="s">
        <v>408</v>
      </c>
      <c r="AB119" s="2" t="s">
        <v>207</v>
      </c>
      <c r="AC119" s="2" t="s">
        <v>1202</v>
      </c>
      <c r="AD119" s="2" t="s">
        <v>1203</v>
      </c>
      <c r="AE119" s="2" t="s">
        <v>1204</v>
      </c>
      <c r="AF119" s="2" t="s">
        <v>1054</v>
      </c>
      <c r="AG119" s="2" t="s">
        <v>1205</v>
      </c>
      <c r="AH119" s="2">
        <v>0.5</v>
      </c>
      <c r="AI119" s="2" t="s">
        <v>1206</v>
      </c>
      <c r="AK119">
        <f t="shared" si="12"/>
        <v>1</v>
      </c>
      <c r="AL119">
        <f t="shared" si="9"/>
        <v>0</v>
      </c>
      <c r="AM119">
        <f t="shared" si="10"/>
        <v>0</v>
      </c>
      <c r="AN119">
        <f t="shared" si="11"/>
        <v>1</v>
      </c>
    </row>
    <row r="120" spans="1:40" ht="409.6">
      <c r="A120" s="2">
        <v>154</v>
      </c>
      <c r="B120" s="2"/>
      <c r="C120" s="2" t="s">
        <v>1207</v>
      </c>
      <c r="D120" s="2" t="s">
        <v>1208</v>
      </c>
      <c r="E120" s="2" t="s">
        <v>1209</v>
      </c>
      <c r="F120" s="2">
        <v>2021</v>
      </c>
      <c r="G120" s="2"/>
      <c r="H120" s="2"/>
      <c r="I120" s="2"/>
      <c r="J120" s="2" t="s">
        <v>1210</v>
      </c>
      <c r="K120" s="2"/>
      <c r="L120" s="2"/>
      <c r="M120" s="2"/>
      <c r="N120" s="2"/>
      <c r="O120" s="2"/>
      <c r="P120" s="2"/>
      <c r="Q120" s="2"/>
      <c r="R120" s="2"/>
      <c r="S120" s="2"/>
      <c r="T120" s="2"/>
      <c r="U120" s="2"/>
      <c r="V120" s="2"/>
      <c r="W120" s="2"/>
      <c r="X120" s="2"/>
      <c r="Y120" s="2" t="s">
        <v>58</v>
      </c>
      <c r="Z120" s="2" t="s">
        <v>1051</v>
      </c>
      <c r="AA120" s="2" t="s">
        <v>114</v>
      </c>
      <c r="AB120" s="2" t="s">
        <v>1211</v>
      </c>
      <c r="AC120" s="2"/>
      <c r="AD120" s="2" t="s">
        <v>1212</v>
      </c>
      <c r="AE120" s="2" t="s">
        <v>1213</v>
      </c>
      <c r="AF120" s="2" t="s">
        <v>1214</v>
      </c>
      <c r="AG120" s="2" t="s">
        <v>1215</v>
      </c>
      <c r="AH120" s="2">
        <v>0</v>
      </c>
      <c r="AI120" s="2" t="s">
        <v>1216</v>
      </c>
      <c r="AK120">
        <f t="shared" si="12"/>
        <v>1</v>
      </c>
      <c r="AL120">
        <f t="shared" si="9"/>
        <v>0</v>
      </c>
      <c r="AM120">
        <f t="shared" si="10"/>
        <v>0</v>
      </c>
      <c r="AN120">
        <f t="shared" si="11"/>
        <v>1</v>
      </c>
    </row>
    <row r="121" spans="1:40" ht="409.6">
      <c r="A121" s="2">
        <v>155</v>
      </c>
      <c r="B121" s="2"/>
      <c r="C121" s="2" t="s">
        <v>1217</v>
      </c>
      <c r="D121" s="2" t="s">
        <v>1218</v>
      </c>
      <c r="E121" s="2" t="s">
        <v>1219</v>
      </c>
      <c r="F121" s="2">
        <v>2024</v>
      </c>
      <c r="G121" s="2"/>
      <c r="H121" s="2"/>
      <c r="I121" s="2"/>
      <c r="J121" s="2" t="s">
        <v>1220</v>
      </c>
      <c r="K121" s="2"/>
      <c r="L121" s="2"/>
      <c r="M121" s="2"/>
      <c r="N121" s="2"/>
      <c r="O121" s="2"/>
      <c r="P121" s="2"/>
      <c r="Q121" s="2"/>
      <c r="R121" s="2"/>
      <c r="S121" s="2"/>
      <c r="T121" s="2"/>
      <c r="U121" s="2"/>
      <c r="V121" s="2"/>
      <c r="W121" s="2"/>
      <c r="X121" s="2"/>
      <c r="Y121" s="2" t="s">
        <v>58</v>
      </c>
      <c r="Z121" s="2" t="s">
        <v>1051</v>
      </c>
      <c r="AA121" s="2" t="s">
        <v>114</v>
      </c>
      <c r="AB121" s="2" t="s">
        <v>1221</v>
      </c>
      <c r="AC121" s="2"/>
      <c r="AD121" s="2" t="s">
        <v>1222</v>
      </c>
      <c r="AE121" s="2" t="s">
        <v>1223</v>
      </c>
      <c r="AF121" s="2" t="s">
        <v>1224</v>
      </c>
      <c r="AG121" s="2" t="s">
        <v>1225</v>
      </c>
      <c r="AH121" s="2">
        <v>0</v>
      </c>
      <c r="AI121" s="2" t="s">
        <v>1226</v>
      </c>
      <c r="AK121">
        <f t="shared" si="12"/>
        <v>1</v>
      </c>
      <c r="AL121">
        <f t="shared" si="9"/>
        <v>0</v>
      </c>
      <c r="AM121">
        <f t="shared" si="10"/>
        <v>0</v>
      </c>
      <c r="AN121">
        <f t="shared" si="11"/>
        <v>1</v>
      </c>
    </row>
    <row r="122" spans="1:40" ht="409.6">
      <c r="A122" s="2">
        <v>156</v>
      </c>
      <c r="B122" s="2"/>
      <c r="C122" s="2" t="s">
        <v>1227</v>
      </c>
      <c r="D122" s="2" t="s">
        <v>1228</v>
      </c>
      <c r="E122" s="2" t="s">
        <v>1229</v>
      </c>
      <c r="F122" s="2">
        <v>2022</v>
      </c>
      <c r="G122" s="2"/>
      <c r="H122" s="2"/>
      <c r="I122" s="2"/>
      <c r="J122" s="2" t="s">
        <v>1230</v>
      </c>
      <c r="K122" s="2"/>
      <c r="L122" s="2"/>
      <c r="M122" s="2"/>
      <c r="N122" s="2"/>
      <c r="O122" s="2"/>
      <c r="P122" s="2"/>
      <c r="Q122" s="2"/>
      <c r="R122" s="2"/>
      <c r="S122" s="2"/>
      <c r="T122" s="2"/>
      <c r="U122" s="2"/>
      <c r="V122" s="2"/>
      <c r="W122" s="2"/>
      <c r="X122" s="2"/>
      <c r="Y122" s="2" t="s">
        <v>58</v>
      </c>
      <c r="Z122" s="2" t="s">
        <v>1051</v>
      </c>
      <c r="AA122" s="2" t="s">
        <v>1231</v>
      </c>
      <c r="AB122" s="2" t="s">
        <v>409</v>
      </c>
      <c r="AC122" s="2"/>
      <c r="AD122" s="2" t="s">
        <v>1232</v>
      </c>
      <c r="AE122" s="2" t="s">
        <v>1233</v>
      </c>
      <c r="AF122" s="2" t="s">
        <v>1180</v>
      </c>
      <c r="AG122" s="2" t="s">
        <v>1205</v>
      </c>
      <c r="AH122" s="2">
        <v>0</v>
      </c>
      <c r="AI122" s="2" t="s">
        <v>1234</v>
      </c>
      <c r="AK122">
        <f t="shared" si="12"/>
        <v>1</v>
      </c>
      <c r="AL122">
        <f t="shared" si="9"/>
        <v>0</v>
      </c>
      <c r="AM122">
        <f t="shared" si="10"/>
        <v>0</v>
      </c>
      <c r="AN122">
        <f t="shared" si="11"/>
        <v>1</v>
      </c>
    </row>
    <row r="123" spans="1:40" ht="409.6">
      <c r="A123" s="2">
        <v>158</v>
      </c>
      <c r="B123" s="2"/>
      <c r="C123" s="2" t="s">
        <v>1235</v>
      </c>
      <c r="D123" s="2" t="s">
        <v>1236</v>
      </c>
      <c r="E123" s="2" t="s">
        <v>1237</v>
      </c>
      <c r="F123" s="2">
        <v>2020</v>
      </c>
      <c r="G123" s="2"/>
      <c r="H123" s="2"/>
      <c r="I123" s="2"/>
      <c r="J123" s="2" t="s">
        <v>1238</v>
      </c>
      <c r="K123" s="2"/>
      <c r="L123" s="2"/>
      <c r="M123" s="2"/>
      <c r="N123" s="2"/>
      <c r="O123" s="2"/>
      <c r="P123" s="2"/>
      <c r="Q123" s="2"/>
      <c r="R123" s="2"/>
      <c r="S123" s="2"/>
      <c r="T123" s="2"/>
      <c r="U123" s="2"/>
      <c r="V123" s="2"/>
      <c r="W123" s="2"/>
      <c r="X123" s="2"/>
      <c r="Y123" s="2" t="s">
        <v>58</v>
      </c>
      <c r="Z123" s="2" t="s">
        <v>1018</v>
      </c>
      <c r="AA123" s="2" t="s">
        <v>1368</v>
      </c>
      <c r="AB123" s="2" t="s">
        <v>1383</v>
      </c>
      <c r="AC123" s="2" t="s">
        <v>1143</v>
      </c>
      <c r="AD123" s="2" t="s">
        <v>1239</v>
      </c>
      <c r="AE123" s="2" t="s">
        <v>1240</v>
      </c>
      <c r="AF123" s="2"/>
      <c r="AG123" s="2" t="s">
        <v>1241</v>
      </c>
      <c r="AH123" s="2">
        <v>1</v>
      </c>
      <c r="AI123" s="2"/>
      <c r="AK123">
        <f t="shared" si="12"/>
        <v>1</v>
      </c>
      <c r="AL123">
        <f t="shared" si="9"/>
        <v>0</v>
      </c>
      <c r="AM123">
        <f t="shared" si="10"/>
        <v>1</v>
      </c>
      <c r="AN123">
        <f t="shared" si="11"/>
        <v>0</v>
      </c>
    </row>
    <row r="124" spans="1:40" ht="409.6">
      <c r="A124" s="2">
        <v>159</v>
      </c>
      <c r="B124" s="2"/>
      <c r="C124" s="2" t="s">
        <v>1242</v>
      </c>
      <c r="D124" s="2" t="s">
        <v>459</v>
      </c>
      <c r="E124" s="2" t="s">
        <v>1243</v>
      </c>
      <c r="F124" s="2">
        <v>2015</v>
      </c>
      <c r="G124" s="2"/>
      <c r="H124" s="2"/>
      <c r="I124" s="2"/>
      <c r="J124" s="2" t="s">
        <v>1244</v>
      </c>
      <c r="K124" s="2"/>
      <c r="L124" s="2"/>
      <c r="M124" s="2"/>
      <c r="N124" s="2"/>
      <c r="O124" s="2"/>
      <c r="P124" s="2"/>
      <c r="Q124" s="2"/>
      <c r="R124" s="2"/>
      <c r="S124" s="2"/>
      <c r="T124" s="2"/>
      <c r="U124" s="2"/>
      <c r="V124" s="2"/>
      <c r="W124" s="2"/>
      <c r="X124" s="2"/>
      <c r="Y124" s="2" t="s">
        <v>58</v>
      </c>
      <c r="Z124" s="2" t="s">
        <v>1051</v>
      </c>
      <c r="AA124" s="2" t="s">
        <v>60</v>
      </c>
      <c r="AB124" s="2" t="s">
        <v>91</v>
      </c>
      <c r="AC124" s="2" t="s">
        <v>1202</v>
      </c>
      <c r="AD124" s="2" t="s">
        <v>1052</v>
      </c>
      <c r="AE124" s="2" t="s">
        <v>1245</v>
      </c>
      <c r="AF124" s="2" t="s">
        <v>1180</v>
      </c>
      <c r="AG124" s="2" t="s">
        <v>66</v>
      </c>
      <c r="AH124" s="2">
        <v>0</v>
      </c>
      <c r="AI124" s="2"/>
      <c r="AK124">
        <f t="shared" si="12"/>
        <v>1</v>
      </c>
      <c r="AL124">
        <f t="shared" si="9"/>
        <v>0</v>
      </c>
      <c r="AM124">
        <f t="shared" si="10"/>
        <v>0</v>
      </c>
      <c r="AN124">
        <f t="shared" si="11"/>
        <v>1</v>
      </c>
    </row>
    <row r="125" spans="1:40" ht="409.6">
      <c r="A125" s="2">
        <v>160</v>
      </c>
      <c r="B125" s="2"/>
      <c r="C125" s="2" t="s">
        <v>1246</v>
      </c>
      <c r="D125" s="2" t="s">
        <v>496</v>
      </c>
      <c r="E125" s="2" t="s">
        <v>1247</v>
      </c>
      <c r="F125" s="2">
        <v>2016</v>
      </c>
      <c r="G125" s="2"/>
      <c r="H125" s="2"/>
      <c r="I125" s="2"/>
      <c r="J125" s="2" t="s">
        <v>1248</v>
      </c>
      <c r="K125" s="2"/>
      <c r="L125" s="2"/>
      <c r="M125" s="2"/>
      <c r="N125" s="2"/>
      <c r="O125" s="2"/>
      <c r="P125" s="2"/>
      <c r="Q125" s="2"/>
      <c r="R125" s="2"/>
      <c r="S125" s="2"/>
      <c r="T125" s="2"/>
      <c r="U125" s="2"/>
      <c r="V125" s="2"/>
      <c r="W125" s="2"/>
      <c r="X125" s="2"/>
      <c r="Y125" s="2" t="s">
        <v>58</v>
      </c>
      <c r="Z125" s="2" t="s">
        <v>1051</v>
      </c>
      <c r="AA125" s="2" t="s">
        <v>1365</v>
      </c>
      <c r="AB125" s="2" t="s">
        <v>1389</v>
      </c>
      <c r="AC125" s="2"/>
      <c r="AD125" s="2" t="s">
        <v>1052</v>
      </c>
      <c r="AE125" s="2" t="s">
        <v>1249</v>
      </c>
      <c r="AF125" s="2"/>
      <c r="AG125" s="2" t="s">
        <v>66</v>
      </c>
      <c r="AH125" s="2">
        <v>0.5</v>
      </c>
      <c r="AI125" s="2" t="s">
        <v>1250</v>
      </c>
      <c r="AK125">
        <f t="shared" si="12"/>
        <v>1</v>
      </c>
      <c r="AL125">
        <f t="shared" si="9"/>
        <v>0</v>
      </c>
      <c r="AM125">
        <f t="shared" si="10"/>
        <v>0</v>
      </c>
      <c r="AN125">
        <f t="shared" si="11"/>
        <v>1</v>
      </c>
    </row>
    <row r="126" spans="1:40" ht="409.6">
      <c r="A126" s="2">
        <v>161</v>
      </c>
      <c r="B126" s="2"/>
      <c r="C126" s="2" t="s">
        <v>1251</v>
      </c>
      <c r="D126" s="2" t="s">
        <v>459</v>
      </c>
      <c r="E126" s="2" t="s">
        <v>1252</v>
      </c>
      <c r="F126" s="2">
        <v>2022</v>
      </c>
      <c r="G126" s="2"/>
      <c r="H126" s="2"/>
      <c r="I126" s="2"/>
      <c r="J126" s="2" t="s">
        <v>1253</v>
      </c>
      <c r="K126" s="2"/>
      <c r="L126" s="2"/>
      <c r="M126" s="2"/>
      <c r="N126" s="2"/>
      <c r="O126" s="2"/>
      <c r="P126" s="2"/>
      <c r="Q126" s="2"/>
      <c r="R126" s="2"/>
      <c r="S126" s="2"/>
      <c r="T126" s="2"/>
      <c r="U126" s="2"/>
      <c r="V126" s="2"/>
      <c r="W126" s="2"/>
      <c r="X126" s="2"/>
      <c r="Y126" s="2" t="s">
        <v>58</v>
      </c>
      <c r="Z126" s="2" t="s">
        <v>1051</v>
      </c>
      <c r="AA126" s="2" t="s">
        <v>408</v>
      </c>
      <c r="AB126" s="2" t="s">
        <v>1254</v>
      </c>
      <c r="AC126" s="2"/>
      <c r="AD126" s="2" t="s">
        <v>1052</v>
      </c>
      <c r="AE126" s="2" t="s">
        <v>1255</v>
      </c>
      <c r="AF126" s="2" t="s">
        <v>1180</v>
      </c>
      <c r="AG126" s="2" t="s">
        <v>1256</v>
      </c>
      <c r="AH126" s="2">
        <v>1</v>
      </c>
      <c r="AI126" s="2" t="s">
        <v>1257</v>
      </c>
      <c r="AK126">
        <f t="shared" si="12"/>
        <v>1</v>
      </c>
      <c r="AL126">
        <f t="shared" si="9"/>
        <v>0</v>
      </c>
      <c r="AM126">
        <f t="shared" si="10"/>
        <v>0</v>
      </c>
      <c r="AN126">
        <f t="shared" si="11"/>
        <v>1</v>
      </c>
    </row>
  </sheetData>
  <sortState xmlns:xlrd2="http://schemas.microsoft.com/office/spreadsheetml/2017/richdata2" ref="CS3:CT8">
    <sortCondition descending="1" ref="CT3:CT8"/>
  </sortState>
  <mergeCells count="7">
    <mergeCell ref="AA95:AH95"/>
    <mergeCell ref="AA72:AH72"/>
    <mergeCell ref="AA82:AH82"/>
    <mergeCell ref="AA86:AH86"/>
    <mergeCell ref="AA87:AH87"/>
    <mergeCell ref="AA88:AH88"/>
    <mergeCell ref="AA93:AH93"/>
  </mergeCells>
  <hyperlinks>
    <hyperlink ref="L74" r:id="rId1" xr:uid="{D9E2F81E-2807-D747-80B5-9399212DB230}"/>
    <hyperlink ref="S74" r:id="rId2" xr:uid="{C9F00438-8D33-A84E-B42E-85430F053E74}"/>
    <hyperlink ref="S73" r:id="rId3" xr:uid="{2F326A5A-D129-4A4F-9B9E-44F70A69C991}"/>
    <hyperlink ref="L73" r:id="rId4" xr:uid="{90E4B8E4-52B2-6948-AC36-825D80E8F481}"/>
    <hyperlink ref="S72" r:id="rId5" xr:uid="{5EAEFB33-F97C-2B40-8302-602A6305B070}"/>
    <hyperlink ref="L72" r:id="rId6" xr:uid="{70F94221-881C-C04B-902B-53201E4F23E7}"/>
    <hyperlink ref="S71" r:id="rId7" xr:uid="{0345C24A-CF3E-D84C-80A0-4AF217652748}"/>
    <hyperlink ref="L75" r:id="rId8" xr:uid="{17210E44-A2DA-7342-B7F6-237C86C25E49}"/>
    <hyperlink ref="S75" r:id="rId9" xr:uid="{71484045-B327-9A4C-BAAF-F3611FB4D19A}"/>
    <hyperlink ref="L76" r:id="rId10" xr:uid="{6FD5A6CD-7CDA-7249-822E-5462083E9B8B}"/>
    <hyperlink ref="S76" r:id="rId11" xr:uid="{6528FC36-5343-C24A-8D82-C4EC6E7D5543}"/>
    <hyperlink ref="L77" r:id="rId12" xr:uid="{F1727B52-A140-E64E-BD40-812BB568E49D}"/>
    <hyperlink ref="S77" r:id="rId13" xr:uid="{1D6479B6-3AE8-684A-96A3-9511DCD6F4E9}"/>
    <hyperlink ref="L78" r:id="rId14" xr:uid="{B1E5E672-6237-3C4F-A636-F89D3961B3AB}"/>
    <hyperlink ref="S78" r:id="rId15" xr:uid="{90F3D487-5CEE-F045-9F70-1779EA857E46}"/>
    <hyperlink ref="L79" r:id="rId16" xr:uid="{18A72B60-7D96-A14F-A7AB-44CD4FCEFD6F}"/>
    <hyperlink ref="S79" r:id="rId17" xr:uid="{D31B44FA-D3A8-CB46-87A9-B8B1E45B9630}"/>
    <hyperlink ref="L80" r:id="rId18" xr:uid="{83077A9C-873D-5F40-9FA4-ACF00090E9B9}"/>
    <hyperlink ref="S80" r:id="rId19" xr:uid="{FA21D786-480F-0D44-B96E-E33205DB7CC9}"/>
    <hyperlink ref="L81" r:id="rId20" xr:uid="{3E2CEB50-CEC3-1243-9BF2-40C734E22861}"/>
    <hyperlink ref="S81" r:id="rId21" xr:uid="{2D4EFF58-59E9-2447-9AEB-E3D6F60A1C1C}"/>
    <hyperlink ref="AD69" r:id="rId22" xr:uid="{773738DC-C51F-6D43-93C4-064EF7FA9A56}"/>
  </hyperlinks>
  <pageMargins left="0.7" right="0.7" top="0.75" bottom="0.75" header="0.3" footer="0.3"/>
  <drawing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data_extraction</vt:lpstr>
      <vt:lpstr>Sheet2</vt:lpstr>
      <vt:lpstr>RQ1_trends_by_category_per_year</vt:lpstr>
      <vt:lpstr>classification_by_venue_q</vt:lpstr>
      <vt:lpstr>RQ1_replicability_per_year</vt:lpstr>
      <vt:lpstr>RQ2_p_taxonomy_vs_algorithm</vt:lpstr>
      <vt:lpstr>RQ2_s_taxonomy_vs_algorithm</vt:lpstr>
      <vt:lpstr>RQ3_datasets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TROVATO</dc:creator>
  <cp:lastModifiedBy>Luigi LIbero Lucio Starace</cp:lastModifiedBy>
  <dcterms:created xsi:type="dcterms:W3CDTF">2025-10-26T10:38:41Z</dcterms:created>
  <dcterms:modified xsi:type="dcterms:W3CDTF">2025-12-25T10:12:13Z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2025-10-29T07:54:54Z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f11c07c9-247a-40ee-b295-0a3b5a8826ca</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